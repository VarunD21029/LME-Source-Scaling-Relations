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6e4a9f6e233a93/Desktop/Source Paper Revisions/"/>
    </mc:Choice>
  </mc:AlternateContent>
  <xr:revisionPtr revIDLastSave="0" documentId="8_{0EA71AFC-643E-4F0C-B83C-A512BE061AAF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E305" i="1" l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<sst xmlns="http://schemas.openxmlformats.org/spreadsheetml/2006/main" count="2086" uniqueCount="535">
  <si>
    <t>Sl No</t>
  </si>
  <si>
    <t xml:space="preserve">Filename </t>
  </si>
  <si>
    <t xml:space="preserve"> Fault type </t>
  </si>
  <si>
    <t>Tsunamigenic Indicator</t>
  </si>
  <si>
    <t>Methodology</t>
  </si>
  <si>
    <t>Hypocenter</t>
  </si>
  <si>
    <t>Magnitude</t>
  </si>
  <si>
    <t>Strike</t>
  </si>
  <si>
    <t>Dip</t>
  </si>
  <si>
    <t>Rake</t>
  </si>
  <si>
    <t>Depth to top</t>
  </si>
  <si>
    <t>Number of Sub-faults</t>
  </si>
  <si>
    <t>Sub-fault Dimensions</t>
  </si>
  <si>
    <t>Length</t>
  </si>
  <si>
    <t>Width</t>
  </si>
  <si>
    <t>Mean Slip</t>
  </si>
  <si>
    <t>Eff.  Length</t>
  </si>
  <si>
    <t>Eff. Width</t>
  </si>
  <si>
    <t>Eff Mean Slip</t>
  </si>
  <si>
    <t>Eff Standard Deviation</t>
  </si>
  <si>
    <t>Slip velocity time function</t>
  </si>
  <si>
    <t>Area of large asperity</t>
  </si>
  <si>
    <t>Area of  very large asperity</t>
  </si>
  <si>
    <t>Area of Combined asperity</t>
  </si>
  <si>
    <t>Position of max slip</t>
  </si>
  <si>
    <t>Position of LA</t>
  </si>
  <si>
    <t>Position of VLA</t>
  </si>
  <si>
    <t>Exponential</t>
  </si>
  <si>
    <t>Von Karman</t>
  </si>
  <si>
    <t>Gaussian</t>
  </si>
  <si>
    <t>Centroid</t>
  </si>
  <si>
    <t>Database</t>
  </si>
  <si>
    <t>Latitude, (°)</t>
  </si>
  <si>
    <t>Longitude, (°)</t>
  </si>
  <si>
    <t>Depth, km</t>
  </si>
  <si>
    <t>Mw</t>
  </si>
  <si>
    <t>(°)</t>
  </si>
  <si>
    <t>km</t>
  </si>
  <si>
    <t>Along Strike</t>
  </si>
  <si>
    <t>Down Dip</t>
  </si>
  <si>
    <t>L , km</t>
  </si>
  <si>
    <t>W, km</t>
  </si>
  <si>
    <t>D, cm</t>
  </si>
  <si>
    <r>
      <rPr>
        <sz val="10"/>
        <color rgb="FF000000"/>
        <rFont val="Arial"/>
        <family val="2"/>
      </rPr>
      <t>L</t>
    </r>
    <r>
      <rPr>
        <vertAlign val="subscript"/>
        <sz val="11"/>
        <color rgb="FF000000"/>
        <rFont val="Arial"/>
        <family val="2"/>
      </rPr>
      <t>eff</t>
    </r>
  </si>
  <si>
    <r>
      <rPr>
        <sz val="10"/>
        <color rgb="FF000000"/>
        <rFont val="Arial"/>
        <family val="2"/>
      </rPr>
      <t>W</t>
    </r>
    <r>
      <rPr>
        <vertAlign val="subscript"/>
        <sz val="11"/>
        <color rgb="FF000000"/>
        <rFont val="Arial"/>
        <family val="2"/>
      </rPr>
      <t>eff</t>
    </r>
  </si>
  <si>
    <r>
      <rPr>
        <sz val="11"/>
        <color rgb="FF000000"/>
        <rFont val="Calibri"/>
      </rPr>
      <t>D</t>
    </r>
    <r>
      <rPr>
        <vertAlign val="subscript"/>
        <sz val="12"/>
        <color rgb="FF000000"/>
        <rFont val="Arial"/>
        <family val="2"/>
      </rPr>
      <t>eff,</t>
    </r>
    <r>
      <rPr>
        <sz val="12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cm</t>
    </r>
  </si>
  <si>
    <r>
      <rPr>
        <b/>
        <sz val="10"/>
        <rFont val="Arial"/>
        <family val="2"/>
      </rPr>
      <t>A</t>
    </r>
    <r>
      <rPr>
        <b/>
        <vertAlign val="subscript"/>
        <sz val="10"/>
        <rFont val="Arial"/>
        <family val="2"/>
      </rPr>
      <t>LA</t>
    </r>
    <r>
      <rPr>
        <b/>
        <sz val="10"/>
        <rFont val="Arial"/>
        <family val="2"/>
      </rPr>
      <t>(km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</si>
  <si>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>A</t>
    </r>
    <r>
      <rPr>
        <b/>
        <vertAlign val="subscript"/>
        <sz val="10"/>
        <rFont val="Arial"/>
        <family val="2"/>
      </rPr>
      <t>VLA</t>
    </r>
    <r>
      <rPr>
        <b/>
        <sz val="10"/>
        <rFont val="Arial"/>
        <family val="2"/>
      </rPr>
      <t>(km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</si>
  <si>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>A</t>
    </r>
    <r>
      <rPr>
        <b/>
        <vertAlign val="subscript"/>
        <sz val="10"/>
        <rFont val="Arial"/>
        <family val="2"/>
      </rPr>
      <t>CA</t>
    </r>
    <r>
      <rPr>
        <b/>
        <sz val="10"/>
        <rFont val="Arial"/>
        <family val="2"/>
      </rPr>
      <t>(km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</si>
  <si>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>R</t>
    </r>
    <r>
      <rPr>
        <b/>
        <vertAlign val="subscript"/>
        <sz val="10"/>
        <rFont val="Arial"/>
        <family val="2"/>
      </rPr>
      <t>dmax</t>
    </r>
  </si>
  <si>
    <r>
      <rPr>
        <b/>
        <sz val="10"/>
        <rFont val="Arial"/>
        <family val="2"/>
      </rPr>
      <t>R</t>
    </r>
    <r>
      <rPr>
        <b/>
        <vertAlign val="subscript"/>
        <sz val="10"/>
        <rFont val="Arial"/>
        <family val="2"/>
      </rPr>
      <t>LA</t>
    </r>
  </si>
  <si>
    <r>
      <rPr>
        <b/>
        <sz val="10"/>
        <rFont val="Arial"/>
        <family val="2"/>
      </rPr>
      <t>R</t>
    </r>
    <r>
      <rPr>
        <b/>
        <vertAlign val="subscript"/>
        <sz val="10"/>
        <rFont val="Arial"/>
        <family val="2"/>
      </rPr>
      <t>VLA</t>
    </r>
  </si>
  <si>
    <r>
      <rPr>
        <b/>
        <sz val="12"/>
        <color rgb="FF000000"/>
        <rFont val="Calibri"/>
      </rPr>
      <t>a</t>
    </r>
    <r>
      <rPr>
        <b/>
        <vertAlign val="subscript"/>
        <sz val="12"/>
        <color rgb="FF000000"/>
        <rFont val="Calibri"/>
      </rPr>
      <t>x</t>
    </r>
  </si>
  <si>
    <r>
      <rPr>
        <b/>
        <sz val="12"/>
        <color rgb="FF000000"/>
        <rFont val="Calibri"/>
      </rPr>
      <t>a</t>
    </r>
    <r>
      <rPr>
        <b/>
        <vertAlign val="subscript"/>
        <sz val="12"/>
        <color rgb="FF000000"/>
        <rFont val="Calibri"/>
      </rPr>
      <t>z</t>
    </r>
  </si>
  <si>
    <r>
      <rPr>
        <b/>
        <sz val="10"/>
        <rFont val="Arial"/>
        <family val="2"/>
      </rPr>
      <t>R</t>
    </r>
    <r>
      <rPr>
        <b/>
        <vertAlign val="subscript"/>
        <sz val="10"/>
        <rFont val="Arial"/>
        <family val="2"/>
      </rPr>
      <t>CA</t>
    </r>
  </si>
  <si>
    <t>s1923KANTOJ01KOBA</t>
  </si>
  <si>
    <t>of</t>
  </si>
  <si>
    <t>triang</t>
  </si>
  <si>
    <t>SRCMOD</t>
  </si>
  <si>
    <t>s1923KANTOJ01WALD</t>
  </si>
  <si>
    <t>s1944TONANK01ICHI</t>
  </si>
  <si>
    <t>th</t>
  </si>
  <si>
    <t>s1948FUKUIJ01ICHI</t>
  </si>
  <si>
    <t>ss</t>
  </si>
  <si>
    <t>unknown</t>
  </si>
  <si>
    <t>s1968HYUGAx01YAGI</t>
  </si>
  <si>
    <t>s1968TOKACH01NAGA</t>
  </si>
  <si>
    <t>s1971SANFER01HEAT</t>
  </si>
  <si>
    <t>s1974PERUCE01HART</t>
  </si>
  <si>
    <t>boxcar</t>
  </si>
  <si>
    <t>s1978MIYAGI01YAMA</t>
  </si>
  <si>
    <t>s1978TABASI01HART</t>
  </si>
  <si>
    <t>s1979COYOTE01LIUx</t>
  </si>
  <si>
    <t>s1979IMPERI01ARCH</t>
  </si>
  <si>
    <t>s1979IMPERI01HART</t>
  </si>
  <si>
    <t>s1979IMPERI01ZENG</t>
  </si>
  <si>
    <t>others</t>
  </si>
  <si>
    <t>s1979PETATL01MEND</t>
  </si>
  <si>
    <t>s1981PLAYAA01MEND</t>
  </si>
  <si>
    <t>s1983BORAHP01MEND</t>
  </si>
  <si>
    <t>nm</t>
  </si>
  <si>
    <t>s1983JAPANE01FUKU</t>
  </si>
  <si>
    <t>s1984MORGAN01BERO</t>
  </si>
  <si>
    <t>s1984MORGAN01HART</t>
  </si>
  <si>
    <t>s1985CENTRA01MEND</t>
  </si>
  <si>
    <t>s1985MICHOA01MEND</t>
  </si>
  <si>
    <t>s1985NAHANN01HART</t>
  </si>
  <si>
    <t>s1985NAHANN02HART</t>
  </si>
  <si>
    <t>s1985ZIHUAT01MEND</t>
  </si>
  <si>
    <t>s1986NORTHP01HART</t>
  </si>
  <si>
    <t>s1986NORTHP01MEND</t>
  </si>
  <si>
    <t>s1987ELMORE01LARS</t>
  </si>
  <si>
    <t>geodetic model</t>
  </si>
  <si>
    <t>s1987SUPERS01LARS</t>
  </si>
  <si>
    <t>s1987SUPERS01WALD</t>
  </si>
  <si>
    <t>s1987WHITTI01HART</t>
  </si>
  <si>
    <t>s1989LOMAPR01BERO</t>
  </si>
  <si>
    <t>s1989LOMAPR01EMOL</t>
  </si>
  <si>
    <t>s1989LOMAPR01STEI</t>
  </si>
  <si>
    <t>s1989LOMAPR01WALD</t>
  </si>
  <si>
    <t>s1989LOMAPR01ZENG</t>
  </si>
  <si>
    <t>s1990MARIAN01HAYE</t>
  </si>
  <si>
    <t xml:space="preserve">asymetriccosine </t>
  </si>
  <si>
    <t>s1992JOSHUA01BENN</t>
  </si>
  <si>
    <t>s1992JOSHUA01HOUG</t>
  </si>
  <si>
    <t>s1992LANDER01COHE</t>
  </si>
  <si>
    <t>s1992LANDER01WALD</t>
  </si>
  <si>
    <t>s1992LANDER01ZENG</t>
  </si>
  <si>
    <t>s1993HOKKAI01MEND</t>
  </si>
  <si>
    <t>s1993PUMQUx01WANG</t>
  </si>
  <si>
    <t>notapplicable</t>
  </si>
  <si>
    <t>s1994NANAOT01MAxx</t>
  </si>
  <si>
    <t>s1994NORTHR01DREG</t>
  </si>
  <si>
    <t>s1994NORTHR01HART</t>
  </si>
  <si>
    <t>s1994NORTHR01HUDN</t>
  </si>
  <si>
    <t>s1994NORTHR01SHEN</t>
  </si>
  <si>
    <t>s1994NORTHR01WALD</t>
  </si>
  <si>
    <t>s1994NORTHR01ZENG</t>
  </si>
  <si>
    <t>s1994SANRIK01HAYE</t>
  </si>
  <si>
    <t>s1994SANRIK01NAGA</t>
  </si>
  <si>
    <t>s1994SANRIK01NAKA</t>
  </si>
  <si>
    <t>s1995COLIMA01MEND</t>
  </si>
  <si>
    <t>s1995COPALA01COUR</t>
  </si>
  <si>
    <t>s1995KOBEJA01HORI</t>
  </si>
  <si>
    <t>s1995KOBEJA01IDEx</t>
  </si>
  <si>
    <t>s1995KOBEJA01KOKE</t>
  </si>
  <si>
    <t>s1995KOBEJA01SEKI</t>
  </si>
  <si>
    <t>s1995KOBEJA01WALD</t>
  </si>
  <si>
    <t>s1995KOBEJA01YOSH</t>
  </si>
  <si>
    <t>s1995KOBEJA01ZENG</t>
  </si>
  <si>
    <t>s1995KOBEJA02SEKI</t>
  </si>
  <si>
    <t>s1996HYUGAx01YAGI</t>
  </si>
  <si>
    <t>s1996HYUGAx02YAGI</t>
  </si>
  <si>
    <t>s1996NAZCAR01HAYE</t>
  </si>
  <si>
    <t>s1996NAZCAR01SALI</t>
  </si>
  <si>
    <t>s1996NAZCAR01SPEN</t>
  </si>
  <si>
    <t>s1996PUMQUx01WANG</t>
  </si>
  <si>
    <t>s1997KAGOSH01HORI</t>
  </si>
  <si>
    <t>s1997KAGOSH02HORI</t>
  </si>
  <si>
    <t>s1997YAMAGU01IDEx</t>
  </si>
  <si>
    <t>s1998ANTARC01ANTO</t>
  </si>
  <si>
    <t>s1998ANTARC02ANTO</t>
  </si>
  <si>
    <t>s1998CERAMS01HAYE</t>
  </si>
  <si>
    <t>s1998IWATEJ01NAKA</t>
  </si>
  <si>
    <t>s1998PUMQUx01WANG</t>
  </si>
  <si>
    <t>s1998RUEYLI01MAxx</t>
  </si>
  <si>
    <t>s1999CHICHI01CHIx</t>
  </si>
  <si>
    <t>s1999CHICHI01HAYE</t>
  </si>
  <si>
    <t>s1999CHICHI01JOHN</t>
  </si>
  <si>
    <t>s1999CHICHI01MAxx</t>
  </si>
  <si>
    <t>s1999CHICHI01SEKI</t>
  </si>
  <si>
    <t>s1999CHICHI01WUxx</t>
  </si>
  <si>
    <t>s1999CHICHI01ZENG</t>
  </si>
  <si>
    <t>s1999CHICHI02MAxx</t>
  </si>
  <si>
    <t>s1999DUZCET01BIRG</t>
  </si>
  <si>
    <t>smooth ramp</t>
  </si>
  <si>
    <t>s1999HECTOR01JIxx</t>
  </si>
  <si>
    <t>s1999HECTOR01JONS</t>
  </si>
  <si>
    <t>s1999HECTOR01KAVE</t>
  </si>
  <si>
    <t>s1999HECTOR01SALI</t>
  </si>
  <si>
    <t>s1999IZMITT01BOUC</t>
  </si>
  <si>
    <t>s1999IZMITT01CAKI</t>
  </si>
  <si>
    <t>s1999IZMITT01DELO</t>
  </si>
  <si>
    <t>s1999IZMITT01HAYE</t>
  </si>
  <si>
    <t>s1999IZMITT01REIL</t>
  </si>
  <si>
    <t>s1999IZMITT01SEKI</t>
  </si>
  <si>
    <t>s1999IZMITT01YAGI</t>
  </si>
  <si>
    <t>s1999OAXACA01HERN</t>
  </si>
  <si>
    <t>s2000KLEIFA01SUDH</t>
  </si>
  <si>
    <t>s2000TOTTOR01IWAT</t>
  </si>
  <si>
    <t>s2000TOTTOR01PIAT</t>
  </si>
  <si>
    <t>s2000TOTTOR01SEKI</t>
  </si>
  <si>
    <t>s2000TOTTOR01SEMM</t>
  </si>
  <si>
    <t>s2001BHUJGU01WANG</t>
  </si>
  <si>
    <t>s2001BHUJIN01ANTO</t>
  </si>
  <si>
    <t>s2001BHUJIN01HAYE</t>
  </si>
  <si>
    <t>s2001BHUJIN01YAGI</t>
  </si>
  <si>
    <t>s2001GEIYOJ01KAKE</t>
  </si>
  <si>
    <t>s2001GEIYOJ01SEKI</t>
  </si>
  <si>
    <t>s2001QINGHA01HAYE</t>
  </si>
  <si>
    <t>s2002DENALI01OGLE</t>
  </si>
  <si>
    <t>s2003BOUMER01SEMM</t>
  </si>
  <si>
    <t>s2003CARLSB01WEIx</t>
  </si>
  <si>
    <t>s2003COLIMA01HAYE</t>
  </si>
  <si>
    <t>s2003COLIMA01YAGI</t>
  </si>
  <si>
    <t>s2003MIYAGI01HIKI</t>
  </si>
  <si>
    <t>s2003MIYAGI01MIUR</t>
  </si>
  <si>
    <t>s2003TOKACH01HAYE</t>
  </si>
  <si>
    <t>s2003TOKACH01KOKE</t>
  </si>
  <si>
    <t>s2003TOKACH01YAGI</t>
  </si>
  <si>
    <t>s2003TOKACH01YAMA</t>
  </si>
  <si>
    <t>s2004IRIANx01WEIx</t>
  </si>
  <si>
    <t>s2004NIIGAT01ASAN</t>
  </si>
  <si>
    <t>s2004PARKFI01CUST</t>
  </si>
  <si>
    <t>s2004PARKFI01DREG</t>
  </si>
  <si>
    <t>s2004PARKFI01JIxx</t>
  </si>
  <si>
    <t>s2004SUMATR01AMMO</t>
  </si>
  <si>
    <t>s2004SUMATR01JIxx</t>
  </si>
  <si>
    <t>s2004SUMATR02RHIE</t>
  </si>
  <si>
    <t>s2004ZHONGB01ELLI</t>
  </si>
  <si>
    <t>s2005FUKUOK01ASAN</t>
  </si>
  <si>
    <t>s2005FUKUOK02ASAN</t>
  </si>
  <si>
    <t>s2005HONSHU01SHAO</t>
  </si>
  <si>
    <t>s2005KASHMI01SHAO</t>
  </si>
  <si>
    <t>s2005NORTHE01SHAO</t>
  </si>
  <si>
    <t>s2005SUMATR01JIxx</t>
  </si>
  <si>
    <t>s2005SUMATR01KONC</t>
  </si>
  <si>
    <t>s2005SUMATR01SHAO</t>
  </si>
  <si>
    <t>s2005ZHONGB01ELLI</t>
  </si>
  <si>
    <t>s2006JAVAIN01HAYE</t>
  </si>
  <si>
    <t>s2006JAVAIN01YAGI</t>
  </si>
  <si>
    <t>s2006KURILI01HAYE</t>
  </si>
  <si>
    <t>s2006KURILI01JIxx</t>
  </si>
  <si>
    <t>s2006KURILI01LAYx</t>
  </si>
  <si>
    <t>s2006KURILI02SLAD</t>
  </si>
  <si>
    <t>s2006SOUTHE01JIxx</t>
  </si>
  <si>
    <t>s2006SOUTHE01KONC</t>
  </si>
  <si>
    <t>s2007BENGKU02GUSM</t>
  </si>
  <si>
    <t>s2007BENKUL01HAYE</t>
  </si>
  <si>
    <t>s2007BENKUL01JIxx</t>
  </si>
  <si>
    <t>s2007BENKUL02KONC</t>
  </si>
  <si>
    <t>s2007KURILI01HAYE</t>
  </si>
  <si>
    <t>s2007KURILI01JIxx</t>
  </si>
  <si>
    <t>s2007KURILI01SLAD</t>
  </si>
  <si>
    <t>s2007MOLUCC01HAYE</t>
  </si>
  <si>
    <t>s2007NIIGAT01CIRE</t>
  </si>
  <si>
    <t>s2007NOTOHA01ASAN</t>
  </si>
  <si>
    <t>s2007PAGAII01HAYE</t>
  </si>
  <si>
    <t>s2007PAGAII01JIxx</t>
  </si>
  <si>
    <t>s2007PAGAII01KONC</t>
  </si>
  <si>
    <t>s2007PAGAII01SLAD</t>
  </si>
  <si>
    <t>s2007PISCOP01JIxx</t>
  </si>
  <si>
    <t>s2007PISCOP01KONC</t>
  </si>
  <si>
    <t>s2007SOLOMO01JIxx</t>
  </si>
  <si>
    <t>s2007SOUTHO01HAYE</t>
  </si>
  <si>
    <t>s2007TOCOPI01BEJA</t>
  </si>
  <si>
    <t>s2007TOCOPI01HAYE</t>
  </si>
  <si>
    <t>s2007TOCOPI01JIxx</t>
  </si>
  <si>
    <t>s2007TOCOPI01MOTA</t>
  </si>
  <si>
    <t>s2007TOCOPI01SLAD</t>
  </si>
  <si>
    <t>s2007TOCOPI01ZENG</t>
  </si>
  <si>
    <t>s2007TOCOPI03BEJA</t>
  </si>
  <si>
    <t>s2007VOLCAN01HAYE</t>
  </si>
  <si>
    <t>s2008GERZET01ELLI</t>
  </si>
  <si>
    <t>s2008GERZET02ELLI</t>
  </si>
  <si>
    <t>s2008IWATEx01ASAN</t>
  </si>
  <si>
    <t>s2008IWATEx01CULT</t>
  </si>
  <si>
    <t>s2008IWATEx01HAYE</t>
  </si>
  <si>
    <t>s2008KERMED01HAYE</t>
  </si>
  <si>
    <t>s2008SIMEUL02HAYE</t>
  </si>
  <si>
    <t>s2008SULAWE01SLAD</t>
  </si>
  <si>
    <t>s2008WENCHU01JIxx</t>
  </si>
  <si>
    <t>s2008WENCHU01SLAD</t>
  </si>
  <si>
    <t>s2008WENCHU01YAGI</t>
  </si>
  <si>
    <t>s2008YUTIAN01ELLI</t>
  </si>
  <si>
    <t>s2008ZHONGB01ELLI</t>
  </si>
  <si>
    <t>s2009FIORDL02HAYE</t>
  </si>
  <si>
    <t>s2009GULFOF01HAYE</t>
  </si>
  <si>
    <t>s2009LAQUIL01CIRE</t>
  </si>
  <si>
    <t>s2009LAQUIL01GALL</t>
  </si>
  <si>
    <t>s2009LAQUIL01GUAL</t>
  </si>
  <si>
    <t>s2009LAQUIL05CIRE</t>
  </si>
  <si>
    <t>s2009OFFSHO01HAYE</t>
  </si>
  <si>
    <t>s2009PADANG01HAYE</t>
  </si>
  <si>
    <t>s2009PADANG01SLAD</t>
  </si>
  <si>
    <t>s2009PADANG02SLAD</t>
  </si>
  <si>
    <t>s2009PADANG03HAYE</t>
  </si>
  <si>
    <t>s2009PAPUAx02HAYE</t>
  </si>
  <si>
    <t>s2009SAMOAx01HAYE</t>
  </si>
  <si>
    <t>s2009VANUAT01HAYE</t>
  </si>
  <si>
    <t>s2009VANUAT01SLAD</t>
  </si>
  <si>
    <t>s2009VANUAT02HAYE</t>
  </si>
  <si>
    <t>s2010BONINI02HAYE</t>
  </si>
  <si>
    <t>s2010DARFIE01HAYE</t>
  </si>
  <si>
    <t>s2010ELMAYO01MEND</t>
  </si>
  <si>
    <t>s2010HAITIx01CALA</t>
  </si>
  <si>
    <t>s2010HAITIx01SLAD</t>
  </si>
  <si>
    <t>s2010HAITIx02HAYE</t>
  </si>
  <si>
    <t>s2010MAULEC01DELO</t>
  </si>
  <si>
    <t>s2010MAULEC01HAYE</t>
  </si>
  <si>
    <t>s2010MAULEC01LUTT</t>
  </si>
  <si>
    <t>s2010MAULEC01POLL</t>
  </si>
  <si>
    <t>s2010MAULEC01SHAO</t>
  </si>
  <si>
    <t>s2010MAULEC01SLAD</t>
  </si>
  <si>
    <t>s2010NORTHE03HAYE</t>
  </si>
  <si>
    <t>s2010NORTHE04HAYE</t>
  </si>
  <si>
    <t>s2010SUMATR02HAYE</t>
  </si>
  <si>
    <t>s2010VANUAT02HAYE</t>
  </si>
  <si>
    <t>s2010VANUAT03HAYE</t>
  </si>
  <si>
    <t>s2011HONSHU04SHAO</t>
  </si>
  <si>
    <t>s2011IBARAK01KUBO</t>
  </si>
  <si>
    <t>s2011KERMAD01HAYE</t>
  </si>
  <si>
    <t>s2011KERMAD03HAYE</t>
  </si>
  <si>
    <t>s2011KERMAD04HAYE</t>
  </si>
  <si>
    <t>s2011OFFSHO01HAYE</t>
  </si>
  <si>
    <t>s2011PAKIST02HAYE</t>
  </si>
  <si>
    <t>s2011SIKKIM01SUNI</t>
  </si>
  <si>
    <t>s2011TOHOKU01AMMO</t>
  </si>
  <si>
    <t>s2011TOHOKU01HAYE</t>
  </si>
  <si>
    <t>s2011TOHOKU01IDEx</t>
  </si>
  <si>
    <t>s2011TOHOKU01LAYx</t>
  </si>
  <si>
    <t>s2011TOHOKU01WEIx</t>
  </si>
  <si>
    <t>s2011TOHOKU01YAGI</t>
  </si>
  <si>
    <t>s2011TOHOKU01YAMA</t>
  </si>
  <si>
    <t>s2011TOHOKU03WEIx</t>
  </si>
  <si>
    <t>s2011VANTUR01ALTI</t>
  </si>
  <si>
    <t>s2011VANTUR01HAYE</t>
  </si>
  <si>
    <t>s2011VANTUR01KONC</t>
  </si>
  <si>
    <t>s2011VANTUR01SHAO</t>
  </si>
  <si>
    <t>s2011VANTUR01UTKU</t>
  </si>
  <si>
    <t>s2011VANUAT02HAYE</t>
  </si>
  <si>
    <t>s2012COSTAR01HAYE</t>
  </si>
  <si>
    <t>s2012COSTAR01LIUx</t>
  </si>
  <si>
    <t>s2012EASTOF01HAYE</t>
  </si>
  <si>
    <t>s2012MASSET01HAYE</t>
  </si>
  <si>
    <t>s2012MASSET01LAYx</t>
  </si>
  <si>
    <t>s2012MASSET01SHAO</t>
  </si>
  <si>
    <t>s2012MASSET01WEIx</t>
  </si>
  <si>
    <t>s2012NICOYA01LOPE</t>
  </si>
  <si>
    <t>s2012OAXACA01WEIx</t>
  </si>
  <si>
    <t>s2012OAXACA02HAYE</t>
  </si>
  <si>
    <t>s2012OFFSHO02HAYE</t>
  </si>
  <si>
    <t>s2012SUMATR01SHAO</t>
  </si>
  <si>
    <t>s2012SUMATR01WEIx</t>
  </si>
  <si>
    <t>s2012SUMATR05HAYE</t>
  </si>
  <si>
    <t>s2012SUMATR06HAYE</t>
  </si>
  <si>
    <t>s2013ALASKA01HAYE</t>
  </si>
  <si>
    <t>s2013FIJIIS01HAYE</t>
  </si>
  <si>
    <t>s2013KHASHI01HAYE</t>
  </si>
  <si>
    <t>s2013KHASHI01WEIx</t>
  </si>
  <si>
    <t>s2013OKHOTS01YExx</t>
  </si>
  <si>
    <t>s2013SANTAC01HAYE</t>
  </si>
  <si>
    <t>s2013SANTAC01LAYx</t>
  </si>
  <si>
    <t>s2013SCOTIA02HAYE</t>
  </si>
  <si>
    <t>s20142014SO01GALL</t>
  </si>
  <si>
    <t>s2014IQUIQU01WEIx</t>
  </si>
  <si>
    <t>s2014OFFCOA02HAYE</t>
  </si>
  <si>
    <t>s2015GORKHA01HAYE</t>
  </si>
  <si>
    <t>s2015GORKHA01KOBA</t>
  </si>
  <si>
    <t>s2015GORKHA01YAGI</t>
  </si>
  <si>
    <t>s2015HINDUK01HAYE</t>
  </si>
  <si>
    <t>s2015ILLAPE01HAYE</t>
  </si>
  <si>
    <t>s2015ILLAPE01OKUW</t>
  </si>
  <si>
    <t>s2015IRIANJ01HAYE</t>
  </si>
  <si>
    <t>s2015NEPALx01HAYE</t>
  </si>
  <si>
    <t>s2015NEWBRI02HAYE</t>
  </si>
  <si>
    <t>s2015NORTHE01HAYE</t>
  </si>
  <si>
    <t>s2015SOLOMO02HAYE</t>
  </si>
  <si>
    <t>s2015SOUTHE01HAYE</t>
  </si>
  <si>
    <t>s2016ALASKA01HAYE</t>
  </si>
  <si>
    <t>s2016AMATRI01PIZZ</t>
  </si>
  <si>
    <t>s2016ASCENS01HAYE</t>
  </si>
  <si>
    <t>s2016CHILES01HAYE</t>
  </si>
  <si>
    <t>s2016KAMCHA02HAYE</t>
  </si>
  <si>
    <t>s2016KUMAMO01ASAN</t>
  </si>
  <si>
    <t>s2016KUMAMO01HAYE</t>
  </si>
  <si>
    <t>s2016KUMAMO01YAGI</t>
  </si>
  <si>
    <t>s2016LOYALT01HAYE</t>
  </si>
  <si>
    <t>s2016MARIAN02HAYE</t>
  </si>
  <si>
    <t>s2016NEARCO01HAYE</t>
  </si>
  <si>
    <t>s2016SOLOMO01HAYE</t>
  </si>
  <si>
    <t>s2016SOUTHG01HAYE</t>
  </si>
  <si>
    <t>s2016SOUTHS01HAYE</t>
  </si>
  <si>
    <t>s2016SOUTHW02HAYE</t>
  </si>
  <si>
    <t>s2016USSITA01PIZZ</t>
  </si>
  <si>
    <t>s2016VANUAT01HAYE</t>
  </si>
  <si>
    <t>s2017CAMPOT01CHEL</t>
  </si>
  <si>
    <t>s2017CHIAPA01OKUW</t>
  </si>
  <si>
    <t>s2017SOLOMO02HAYE</t>
  </si>
  <si>
    <t>s2018IBURIH02KOBA</t>
  </si>
  <si>
    <t>s2020SAMOSI01SUNx</t>
  </si>
  <si>
    <t>10003re5</t>
  </si>
  <si>
    <t>HAYE</t>
  </si>
  <si>
    <t>USGS</t>
  </si>
  <si>
    <t>10006jbi</t>
  </si>
  <si>
    <t>10008kce</t>
  </si>
  <si>
    <t>1000c2zy</t>
  </si>
  <si>
    <t>1000dyad</t>
  </si>
  <si>
    <t>1000gcii</t>
  </si>
  <si>
    <t>1000gez7</t>
  </si>
  <si>
    <t>1000h3p4</t>
  </si>
  <si>
    <t>1000haa3</t>
  </si>
  <si>
    <t>1000hhb1</t>
  </si>
  <si>
    <t>1000hyfh</t>
  </si>
  <si>
    <t>1000i2gt</t>
  </si>
  <si>
    <t>1000j96d</t>
  </si>
  <si>
    <t>200081v8</t>
  </si>
  <si>
    <t>20009x42</t>
  </si>
  <si>
    <t>2000ahv0</t>
  </si>
  <si>
    <t>2000ar20</t>
  </si>
  <si>
    <t>2000bmcg</t>
  </si>
  <si>
    <t>2000cjfy</t>
  </si>
  <si>
    <t>2000cmy3</t>
  </si>
  <si>
    <t>2000d3km</t>
  </si>
  <si>
    <t>2000d7q6</t>
  </si>
  <si>
    <t>2000ivfw</t>
  </si>
  <si>
    <t>2000iyta</t>
  </si>
  <si>
    <t>2000jlfv</t>
  </si>
  <si>
    <t>2021Alaska</t>
  </si>
  <si>
    <t>2021Calif</t>
  </si>
  <si>
    <t>2021China</t>
  </si>
  <si>
    <t>2021Haiti</t>
  </si>
  <si>
    <t>2021Mexico</t>
  </si>
  <si>
    <t>2021Mind</t>
  </si>
  <si>
    <t>2021Panama</t>
  </si>
  <si>
    <t>2021Peru</t>
  </si>
  <si>
    <t>2021Timor</t>
  </si>
  <si>
    <t>2021mauindoasia</t>
  </si>
  <si>
    <t>2021ssir</t>
  </si>
  <si>
    <t>2022Bantay</t>
  </si>
  <si>
    <t>2022CA</t>
  </si>
  <si>
    <t>2022Tonga</t>
  </si>
  <si>
    <t>2022afghan</t>
  </si>
  <si>
    <t>2022japan</t>
  </si>
  <si>
    <t>2022loyalty</t>
  </si>
  <si>
    <t>2022mexico</t>
  </si>
  <si>
    <t>2022qinghai</t>
  </si>
  <si>
    <t>2022solomon</t>
  </si>
  <si>
    <t>2022yujing</t>
  </si>
  <si>
    <t>2023Indonesia</t>
  </si>
  <si>
    <t>2023_Kermadec</t>
  </si>
  <si>
    <t>2023_Teluk_Dalam</t>
  </si>
  <si>
    <t>2023_turkey</t>
  </si>
  <si>
    <t>2023_turkey_2</t>
  </si>
  <si>
    <t>2023vanuatu</t>
  </si>
  <si>
    <t>60003sc0</t>
  </si>
  <si>
    <t>6000417i</t>
  </si>
  <si>
    <t>60006bjl</t>
  </si>
  <si>
    <t>60007ewc</t>
  </si>
  <si>
    <t>60007idc</t>
  </si>
  <si>
    <t>6000ah9t</t>
  </si>
  <si>
    <t>6000c9hg</t>
  </si>
  <si>
    <t>6000d7ix</t>
  </si>
  <si>
    <t>6000dg77</t>
  </si>
  <si>
    <t>6000dher</t>
  </si>
  <si>
    <t>70003hqb</t>
  </si>
  <si>
    <t>70003kyy</t>
  </si>
  <si>
    <t>70004bn0</t>
  </si>
  <si>
    <t>70004jyv</t>
  </si>
  <si>
    <t>70007pa9</t>
  </si>
  <si>
    <t>70008fi4</t>
  </si>
  <si>
    <t>70008jr5</t>
  </si>
  <si>
    <t>7000aq3e</t>
  </si>
  <si>
    <t>7000asvb</t>
  </si>
  <si>
    <t>7000bfjr</t>
  </si>
  <si>
    <t>7000c7y0</t>
  </si>
  <si>
    <t>7000d18q</t>
  </si>
  <si>
    <t>7000dfk3</t>
  </si>
  <si>
    <t>7000dflf</t>
  </si>
  <si>
    <t>7000dl6y</t>
  </si>
  <si>
    <t>b000jyiv</t>
  </si>
  <si>
    <t>b000kdb4</t>
  </si>
  <si>
    <t>b000pq41</t>
  </si>
  <si>
    <t>b000pr89</t>
  </si>
  <si>
    <t>b000sk6k</t>
  </si>
  <si>
    <t>b000tp5q</t>
  </si>
  <si>
    <t>c000f40</t>
  </si>
  <si>
    <t>c000kn4n</t>
  </si>
  <si>
    <t>c000nzvd</t>
  </si>
  <si>
    <t>c000p27i</t>
  </si>
  <si>
    <t>c000pft9</t>
  </si>
  <si>
    <t>c000phx5</t>
  </si>
  <si>
    <t>c000piqj</t>
  </si>
  <si>
    <t>c000rki5</t>
  </si>
  <si>
    <t>c201305240544</t>
  </si>
  <si>
    <t>p000482z</t>
  </si>
  <si>
    <t>p0004k00</t>
  </si>
  <si>
    <t>p0004qpg</t>
  </si>
  <si>
    <t>p0004t6g</t>
  </si>
  <si>
    <t>p00050sq</t>
  </si>
  <si>
    <t>p0005ddn</t>
  </si>
  <si>
    <t>p0005j5a</t>
  </si>
  <si>
    <t>p0005ktj</t>
  </si>
  <si>
    <t>p0005u7b</t>
  </si>
  <si>
    <t>p0005w12</t>
  </si>
  <si>
    <t>p0005y3k</t>
  </si>
  <si>
    <t>p0006djk</t>
  </si>
  <si>
    <t>p0006kdp</t>
  </si>
  <si>
    <t>p0006xg1</t>
  </si>
  <si>
    <t>p000714t</t>
  </si>
  <si>
    <t>p00071w4</t>
  </si>
  <si>
    <t>p000782n</t>
  </si>
  <si>
    <t>p00079zv</t>
  </si>
  <si>
    <t>p0007d1w</t>
  </si>
  <si>
    <t>p0007dmb</t>
  </si>
  <si>
    <t>p0007jcu</t>
  </si>
  <si>
    <t>p00080wt</t>
  </si>
  <si>
    <t>p000890q</t>
  </si>
  <si>
    <t>p0008a97</t>
  </si>
  <si>
    <t>p0008btk</t>
  </si>
  <si>
    <t>p0008dqq</t>
  </si>
  <si>
    <t>p0008hzd</t>
  </si>
  <si>
    <t>p0008mdk</t>
  </si>
  <si>
    <t>p0009f7v</t>
  </si>
  <si>
    <t>p0009j4n</t>
  </si>
  <si>
    <t>p0009qb4</t>
  </si>
  <si>
    <t>p0009sbh</t>
  </si>
  <si>
    <t>p0009txv</t>
  </si>
  <si>
    <t>p0009ut0</t>
  </si>
  <si>
    <t>p000a3qq</t>
  </si>
  <si>
    <t>p000a3sp</t>
  </si>
  <si>
    <t>p000a45f</t>
  </si>
  <si>
    <t>p000a7m5</t>
  </si>
  <si>
    <t>p000ah4q</t>
  </si>
  <si>
    <t>p000aj40</t>
  </si>
  <si>
    <t>p000azqw</t>
  </si>
  <si>
    <t>p000bbpf</t>
  </si>
  <si>
    <t>p000be54</t>
  </si>
  <si>
    <t>p000bfuz</t>
  </si>
  <si>
    <t>p000bg0m</t>
  </si>
  <si>
    <t>p000c2ka</t>
  </si>
  <si>
    <t>p000c41f</t>
  </si>
  <si>
    <t>p000c5h6</t>
  </si>
  <si>
    <t>p000c8kv</t>
  </si>
  <si>
    <t>p000cd1n</t>
  </si>
  <si>
    <t>p000d85g</t>
  </si>
  <si>
    <t>p000db93</t>
  </si>
  <si>
    <t>p000dk85</t>
  </si>
  <si>
    <t>p000dsw1</t>
  </si>
  <si>
    <t>p000dt25</t>
  </si>
  <si>
    <t>p000dxe2</t>
  </si>
  <si>
    <t>p000dz2j</t>
  </si>
  <si>
    <t>p000e09h</t>
  </si>
  <si>
    <t>p000e12e</t>
  </si>
  <si>
    <t>p000ef1h</t>
  </si>
  <si>
    <t>p000eg5g</t>
  </si>
  <si>
    <t>p000fj6k</t>
  </si>
  <si>
    <t>p000fjta</t>
  </si>
  <si>
    <t>p000gv5p</t>
  </si>
  <si>
    <t>p000h05x</t>
  </si>
  <si>
    <t>p000hdwb</t>
  </si>
  <si>
    <t>p000hfku</t>
  </si>
  <si>
    <t>p000hhhx</t>
  </si>
  <si>
    <t>p000hzf6</t>
  </si>
  <si>
    <t>p000jqvm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</si>
</sst>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family val="2"/>
    </font>
    <font>
      <b/>
      <sz val="11"/>
      <color rgb="FF000000"/>
      <name val="Calibri"/>
    </font>
    <font>
      <b/>
      <sz val="10"/>
      <color rgb="FF000000"/>
      <name val="Arial"/>
    </font>
    <font>
      <b/>
      <sz val="10"/>
      <name val="Arial"/>
      <family val="2"/>
    </font>
    <font>
      <sz val="10"/>
      <color rgb="FF000000"/>
      <name val="Arial"/>
      <family val="2"/>
    </font>
    <font>
      <vertAlign val="subscript"/>
      <sz val="11"/>
      <color rgb="FF000000"/>
      <name val="Arial"/>
      <family val="2"/>
    </font>
    <font>
      <sz val="11"/>
      <color rgb="FF000000"/>
      <name val="Calibri"/>
    </font>
    <font>
      <vertAlign val="subscript"/>
      <sz val="12"/>
      <color rgb="FF000000"/>
      <name val="Arial"/>
      <family val="2"/>
    </font>
    <font>
      <sz val="12"/>
      <color rgb="FF000000"/>
      <name val="Arial"/>
      <family val="2"/>
    </font>
    <font>
      <b/>
      <vertAlign val="subscript"/>
      <sz val="10"/>
      <name val="Arial"/>
      <family val="2"/>
    </font>
    <font>
      <b/>
      <vertAlign val="superscript"/>
      <sz val="10"/>
      <name val="Arial"/>
      <family val="2"/>
    </font>
    <font>
      <b/>
      <sz val="12"/>
      <color rgb="FF000000"/>
      <name val="Calibri"/>
    </font>
    <font>
      <b/>
      <vertAlign val="subscript"/>
      <sz val="12"/>
      <color rgb="FF000000"/>
      <name val="Calibri"/>
    </font>
    <font>
      <sz val="10"/>
      <color rgb="FFC9211E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horizontal="center" wrapText="1"/>
    </xf>
    <xf numFmtId="2" fontId="1" fillId="0" borderId="3" xfId="0" applyNumberFormat="1" applyFont="1" applyBorder="1" applyAlignment="1">
      <alignment horizontal="center" wrapText="1"/>
    </xf>
    <xf numFmtId="0" fontId="3" fillId="0" borderId="3" xfId="0" applyFont="1" applyBorder="1"/>
    <xf numFmtId="0" fontId="1" fillId="0" borderId="4" xfId="0" applyFont="1" applyBorder="1" applyAlignment="1">
      <alignment horizontal="center" wrapText="1"/>
    </xf>
    <xf numFmtId="2" fontId="1" fillId="0" borderId="4" xfId="0" applyNumberFormat="1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4" fillId="0" borderId="0" xfId="0" applyFont="1"/>
    <xf numFmtId="0" fontId="13" fillId="0" borderId="0" xfId="0" applyFont="1"/>
    <xf numFmtId="0" fontId="6" fillId="0" borderId="0" xfId="0" applyFont="1"/>
    <xf numFmtId="0" fontId="4" fillId="0" borderId="4" xfId="0" applyFont="1" applyBorder="1"/>
    <xf numFmtId="0" fontId="6" fillId="0" borderId="4" xfId="0" applyFont="1" applyBorder="1"/>
    <xf numFmtId="0" fontId="0" fillId="2" borderId="0" xfId="0" applyFill="1"/>
    <xf numFmtId="0" fontId="0" fillId="3" borderId="0" xfId="0" applyFill="1"/>
    <xf numFmtId="0" fontId="14" fillId="0" borderId="0" xfId="0" applyFont="1"/>
    <xf numFmtId="11" fontId="0" fillId="0" borderId="0" xfId="0" applyNumberFormat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67"/>
  <sheetViews>
    <sheetView tabSelected="1" topLeftCell="AC1" zoomScaleNormal="100" workbookViewId="0">
      <selection activeCell="AL2" sqref="AL1:AM1048576"/>
    </sheetView>
  </sheetViews>
  <sheetFormatPr defaultColWidth="11.54296875" defaultRowHeight="12.5" x14ac:dyDescent="0.25"/>
  <cols>
    <col min="1" max="1" width="11.54296875" customWidth="1"/>
    <col min="2" max="2" width="21.81640625" customWidth="1"/>
    <col min="3" max="3" width="9.453125" customWidth="1"/>
    <col min="4" max="5" width="12.6328125" customWidth="1"/>
    <col min="6" max="6" width="11.54296875" customWidth="1"/>
    <col min="7" max="7" width="16.7265625" customWidth="1"/>
    <col min="8" max="24" width="11.54296875" customWidth="1"/>
    <col min="25" max="25" width="21.54296875" customWidth="1"/>
    <col min="26" max="26" width="19.90625" customWidth="1"/>
    <col min="28" max="28" width="11.54296875" customWidth="1"/>
    <col min="29" max="29" width="22.08984375" customWidth="1"/>
    <col min="30" max="30" width="17.6328125" customWidth="1"/>
    <col min="31" max="31" width="16.36328125" customWidth="1"/>
    <col min="32" max="40" width="11.54296875" customWidth="1"/>
  </cols>
  <sheetData>
    <row r="1" spans="1:40" ht="23.9" customHeight="1" x14ac:dyDescent="0.35">
      <c r="A1" s="9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6" t="s">
        <v>5</v>
      </c>
      <c r="G1" s="6"/>
      <c r="H1" s="6"/>
      <c r="I1" s="10" t="s">
        <v>6</v>
      </c>
      <c r="J1" s="10" t="s">
        <v>7</v>
      </c>
      <c r="K1" s="10" t="s">
        <v>8</v>
      </c>
      <c r="L1" s="10" t="s">
        <v>9</v>
      </c>
      <c r="M1" s="11" t="s">
        <v>10</v>
      </c>
      <c r="N1" s="6" t="s">
        <v>11</v>
      </c>
      <c r="O1" s="6"/>
      <c r="P1" s="6" t="s">
        <v>12</v>
      </c>
      <c r="Q1" s="6"/>
      <c r="R1" s="10" t="s">
        <v>13</v>
      </c>
      <c r="S1" s="10" t="s">
        <v>14</v>
      </c>
      <c r="T1" s="10" t="s">
        <v>15</v>
      </c>
      <c r="U1" s="10" t="s">
        <v>16</v>
      </c>
      <c r="V1" s="10" t="s">
        <v>17</v>
      </c>
      <c r="W1" s="10" t="s">
        <v>18</v>
      </c>
      <c r="X1" s="5" t="s">
        <v>19</v>
      </c>
      <c r="Y1" s="4" t="s">
        <v>20</v>
      </c>
      <c r="Z1" s="12" t="s">
        <v>21</v>
      </c>
      <c r="AA1" s="12" t="s">
        <v>22</v>
      </c>
      <c r="AB1" s="12" t="s">
        <v>23</v>
      </c>
      <c r="AC1" s="12" t="s">
        <v>24</v>
      </c>
      <c r="AD1" s="12" t="s">
        <v>25</v>
      </c>
      <c r="AE1" s="12" t="s">
        <v>26</v>
      </c>
      <c r="AF1" s="3" t="s">
        <v>27</v>
      </c>
      <c r="AG1" s="3"/>
      <c r="AH1" s="3" t="s">
        <v>28</v>
      </c>
      <c r="AI1" s="3"/>
      <c r="AJ1" s="3" t="s">
        <v>29</v>
      </c>
      <c r="AK1" s="3"/>
      <c r="AL1" s="2" t="s">
        <v>30</v>
      </c>
      <c r="AM1" s="2"/>
      <c r="AN1" s="1" t="s">
        <v>31</v>
      </c>
    </row>
    <row r="2" spans="1:40" ht="17.5" x14ac:dyDescent="0.45">
      <c r="A2" s="9"/>
      <c r="B2" s="8"/>
      <c r="C2" s="7"/>
      <c r="D2" s="7"/>
      <c r="E2" s="7"/>
      <c r="F2" s="13" t="s">
        <v>32</v>
      </c>
      <c r="G2" s="13" t="s">
        <v>33</v>
      </c>
      <c r="H2" s="13" t="s">
        <v>34</v>
      </c>
      <c r="I2" s="13" t="s">
        <v>35</v>
      </c>
      <c r="J2" s="13" t="s">
        <v>36</v>
      </c>
      <c r="K2" s="13" t="s">
        <v>36</v>
      </c>
      <c r="L2" s="13" t="s">
        <v>36</v>
      </c>
      <c r="M2" s="14" t="s">
        <v>37</v>
      </c>
      <c r="N2" s="13" t="s">
        <v>38</v>
      </c>
      <c r="O2" s="13" t="s">
        <v>39</v>
      </c>
      <c r="P2" s="13" t="s">
        <v>38</v>
      </c>
      <c r="Q2" s="13" t="s">
        <v>39</v>
      </c>
      <c r="R2" s="13" t="s">
        <v>40</v>
      </c>
      <c r="S2" s="13" t="s">
        <v>41</v>
      </c>
      <c r="T2" s="13" t="s">
        <v>42</v>
      </c>
      <c r="U2" s="15" t="s">
        <v>43</v>
      </c>
      <c r="V2" s="15" t="s">
        <v>44</v>
      </c>
      <c r="W2" s="16" t="s">
        <v>45</v>
      </c>
      <c r="X2" s="5"/>
      <c r="Y2" s="4"/>
      <c r="Z2" s="17" t="s">
        <v>46</v>
      </c>
      <c r="AA2" s="17" t="s">
        <v>47</v>
      </c>
      <c r="AB2" s="17" t="s">
        <v>48</v>
      </c>
      <c r="AC2" s="18" t="s">
        <v>49</v>
      </c>
      <c r="AD2" s="18" t="s">
        <v>50</v>
      </c>
      <c r="AE2" s="18" t="s">
        <v>51</v>
      </c>
      <c r="AF2" s="19" t="s">
        <v>52</v>
      </c>
      <c r="AG2" s="19" t="s">
        <v>53</v>
      </c>
      <c r="AH2" s="19" t="s">
        <v>52</v>
      </c>
      <c r="AI2" s="19" t="s">
        <v>53</v>
      </c>
      <c r="AJ2" s="19" t="s">
        <v>52</v>
      </c>
      <c r="AK2" s="19" t="s">
        <v>53</v>
      </c>
      <c r="AL2" s="18" t="s">
        <v>51</v>
      </c>
      <c r="AM2" s="18" t="s">
        <v>54</v>
      </c>
      <c r="AN2" s="1"/>
    </row>
    <row r="3" spans="1:40" x14ac:dyDescent="0.25">
      <c r="A3" s="20">
        <v>1</v>
      </c>
      <c r="B3" s="20" t="s">
        <v>55</v>
      </c>
      <c r="C3" s="20" t="s">
        <v>56</v>
      </c>
      <c r="D3">
        <v>1</v>
      </c>
      <c r="E3" s="20" t="str">
        <f t="shared" ref="E3:E66" si="0">RIGHT(B3,4)</f>
        <v>KOBA</v>
      </c>
      <c r="F3" s="20">
        <v>35.4</v>
      </c>
      <c r="G3" s="20">
        <v>139.19999999999999</v>
      </c>
      <c r="H3" s="20">
        <v>14.6</v>
      </c>
      <c r="I3" s="20">
        <v>8.08</v>
      </c>
      <c r="J3" s="20">
        <v>290</v>
      </c>
      <c r="K3" s="20">
        <v>25</v>
      </c>
      <c r="L3" s="20">
        <v>140</v>
      </c>
      <c r="M3" s="20">
        <v>2</v>
      </c>
      <c r="N3" s="20">
        <v>10</v>
      </c>
      <c r="O3" s="20">
        <v>7</v>
      </c>
      <c r="P3" s="20">
        <v>13</v>
      </c>
      <c r="Q3" s="20">
        <v>10</v>
      </c>
      <c r="R3">
        <v>130</v>
      </c>
      <c r="S3">
        <v>70</v>
      </c>
      <c r="T3">
        <v>409.93428571428598</v>
      </c>
      <c r="U3">
        <v>130</v>
      </c>
      <c r="V3">
        <v>70</v>
      </c>
      <c r="W3">
        <v>409.93428571428598</v>
      </c>
      <c r="X3">
        <v>227.91476342519701</v>
      </c>
      <c r="Y3" s="20" t="s">
        <v>57</v>
      </c>
      <c r="Z3">
        <v>3380</v>
      </c>
      <c r="AA3">
        <v>1300</v>
      </c>
      <c r="AB3">
        <v>4680</v>
      </c>
      <c r="AC3">
        <v>97.6281209488332</v>
      </c>
      <c r="AD3">
        <v>8.2006097334283599</v>
      </c>
      <c r="AE3">
        <v>8.2006097334283599</v>
      </c>
      <c r="AF3">
        <v>56.471074859626498</v>
      </c>
      <c r="AG3">
        <v>35.613920681516298</v>
      </c>
      <c r="AH3">
        <v>44.306746175845902</v>
      </c>
      <c r="AI3">
        <v>28.884214856336101</v>
      </c>
      <c r="AJ3">
        <v>23.6355464066426</v>
      </c>
      <c r="AK3">
        <v>17.6877064136138</v>
      </c>
      <c r="AL3" s="20">
        <v>60.038646622071703</v>
      </c>
      <c r="AM3" s="20">
        <v>33.292626590583097</v>
      </c>
      <c r="AN3" s="20" t="s">
        <v>58</v>
      </c>
    </row>
    <row r="4" spans="1:40" x14ac:dyDescent="0.25">
      <c r="A4" s="20">
        <v>2</v>
      </c>
      <c r="B4" s="20" t="s">
        <v>59</v>
      </c>
      <c r="C4" s="20" t="s">
        <v>56</v>
      </c>
      <c r="D4">
        <v>1</v>
      </c>
      <c r="E4" s="20" t="str">
        <f t="shared" si="0"/>
        <v>WALD</v>
      </c>
      <c r="F4" s="20">
        <v>35.4</v>
      </c>
      <c r="G4" s="20">
        <v>139.19999999999999</v>
      </c>
      <c r="H4" s="20">
        <v>14.6</v>
      </c>
      <c r="I4" s="20">
        <v>7.95</v>
      </c>
      <c r="J4" s="20">
        <v>290</v>
      </c>
      <c r="K4" s="20">
        <v>25</v>
      </c>
      <c r="L4" s="20">
        <v>138.80831361063301</v>
      </c>
      <c r="M4" s="20">
        <v>2</v>
      </c>
      <c r="N4" s="20">
        <v>10</v>
      </c>
      <c r="O4" s="20">
        <v>7</v>
      </c>
      <c r="P4" s="20">
        <v>13</v>
      </c>
      <c r="Q4" s="20">
        <v>10</v>
      </c>
      <c r="R4">
        <v>130</v>
      </c>
      <c r="S4">
        <v>70</v>
      </c>
      <c r="T4">
        <v>253.47413714285699</v>
      </c>
      <c r="U4">
        <v>130</v>
      </c>
      <c r="V4">
        <v>70</v>
      </c>
      <c r="W4">
        <v>253.47413714285699</v>
      </c>
      <c r="X4">
        <v>205.988475315941</v>
      </c>
      <c r="Y4" s="20" t="s">
        <v>57</v>
      </c>
      <c r="Z4">
        <v>2600</v>
      </c>
      <c r="AA4">
        <v>1300</v>
      </c>
      <c r="AB4">
        <v>3900</v>
      </c>
      <c r="AC4">
        <v>79.655759364907198</v>
      </c>
      <c r="AD4">
        <v>1.0198039027185599</v>
      </c>
      <c r="AE4">
        <v>1.0198039027185599</v>
      </c>
      <c r="AF4">
        <v>41.9476903445033</v>
      </c>
      <c r="AG4">
        <v>29.3499219399874</v>
      </c>
      <c r="AH4">
        <v>55.577359533111398</v>
      </c>
      <c r="AI4">
        <v>38.131825614953499</v>
      </c>
      <c r="AJ4">
        <v>22.010605138345099</v>
      </c>
      <c r="AK4">
        <v>16.726690675057</v>
      </c>
      <c r="AL4" s="20">
        <v>45.319915161990302</v>
      </c>
      <c r="AM4" s="20">
        <v>30.045371185758398</v>
      </c>
      <c r="AN4" s="20" t="s">
        <v>58</v>
      </c>
    </row>
    <row r="5" spans="1:40" x14ac:dyDescent="0.25">
      <c r="A5" s="20">
        <v>3</v>
      </c>
      <c r="B5" s="20" t="s">
        <v>60</v>
      </c>
      <c r="C5" s="20" t="s">
        <v>61</v>
      </c>
      <c r="D5">
        <v>1</v>
      </c>
      <c r="E5" s="20" t="str">
        <f t="shared" si="0"/>
        <v>ICHI</v>
      </c>
      <c r="F5" s="20">
        <v>33.770000000000003</v>
      </c>
      <c r="G5" s="20">
        <v>135.96</v>
      </c>
      <c r="H5" s="20">
        <v>30</v>
      </c>
      <c r="I5" s="20">
        <v>8.0399999999999991</v>
      </c>
      <c r="J5" s="20">
        <v>235</v>
      </c>
      <c r="K5" s="20">
        <v>20</v>
      </c>
      <c r="L5" s="20">
        <v>82</v>
      </c>
      <c r="M5" s="20">
        <v>2</v>
      </c>
      <c r="N5" s="20">
        <v>11</v>
      </c>
      <c r="O5" s="20">
        <v>7</v>
      </c>
      <c r="P5" s="20">
        <v>20</v>
      </c>
      <c r="Q5" s="20">
        <v>20</v>
      </c>
      <c r="R5">
        <v>220</v>
      </c>
      <c r="S5">
        <v>140</v>
      </c>
      <c r="T5">
        <v>104.84415584415601</v>
      </c>
      <c r="U5">
        <v>220</v>
      </c>
      <c r="V5">
        <v>140</v>
      </c>
      <c r="W5">
        <v>104.84415584415601</v>
      </c>
      <c r="X5">
        <v>45.148312591614399</v>
      </c>
      <c r="Y5" s="20" t="s">
        <v>57</v>
      </c>
      <c r="Z5">
        <v>17200</v>
      </c>
      <c r="AA5">
        <v>4800</v>
      </c>
      <c r="AB5">
        <v>22000</v>
      </c>
      <c r="AC5">
        <v>70.710678118654798</v>
      </c>
      <c r="AD5">
        <v>14.142135623731001</v>
      </c>
      <c r="AE5">
        <v>50.990195135927898</v>
      </c>
      <c r="AF5">
        <v>97.786053031878097</v>
      </c>
      <c r="AG5">
        <v>77.639976007466501</v>
      </c>
      <c r="AH5">
        <v>135.28724865797901</v>
      </c>
      <c r="AI5">
        <v>102.192397415313</v>
      </c>
      <c r="AJ5">
        <v>36.514659349939997</v>
      </c>
      <c r="AK5">
        <v>35.352667247808398</v>
      </c>
      <c r="AL5" s="20">
        <v>128.88190316696901</v>
      </c>
      <c r="AM5" s="20">
        <v>109.76831791459701</v>
      </c>
      <c r="AN5" s="20" t="s">
        <v>58</v>
      </c>
    </row>
    <row r="6" spans="1:40" x14ac:dyDescent="0.25">
      <c r="A6" s="20">
        <v>4</v>
      </c>
      <c r="B6" s="20" t="s">
        <v>62</v>
      </c>
      <c r="C6" s="20" t="s">
        <v>63</v>
      </c>
      <c r="D6">
        <v>1</v>
      </c>
      <c r="E6" s="20" t="str">
        <f t="shared" si="0"/>
        <v>ICHI</v>
      </c>
      <c r="F6" s="20">
        <v>36.247</v>
      </c>
      <c r="G6" s="20">
        <v>136.18799999999999</v>
      </c>
      <c r="H6" s="20">
        <v>10.14</v>
      </c>
      <c r="I6" s="20">
        <v>6.65</v>
      </c>
      <c r="J6" s="20">
        <v>170</v>
      </c>
      <c r="K6" s="20">
        <v>75</v>
      </c>
      <c r="L6" s="20">
        <v>-15.0541605934558</v>
      </c>
      <c r="M6" s="20">
        <v>0</v>
      </c>
      <c r="N6" s="20">
        <v>20</v>
      </c>
      <c r="O6" s="20">
        <v>6</v>
      </c>
      <c r="P6" s="20">
        <v>3</v>
      </c>
      <c r="Q6" s="20">
        <v>3</v>
      </c>
      <c r="R6">
        <v>60</v>
      </c>
      <c r="S6">
        <v>18</v>
      </c>
      <c r="T6">
        <v>30.030833333333302</v>
      </c>
      <c r="U6">
        <v>45</v>
      </c>
      <c r="V6">
        <v>18</v>
      </c>
      <c r="W6">
        <v>40.0411111111111</v>
      </c>
      <c r="X6">
        <v>36.163612159294097</v>
      </c>
      <c r="Y6" s="20" t="s">
        <v>64</v>
      </c>
      <c r="Z6">
        <v>153</v>
      </c>
      <c r="AA6">
        <v>45</v>
      </c>
      <c r="AB6">
        <v>198</v>
      </c>
      <c r="AC6">
        <v>14.849242404917501</v>
      </c>
      <c r="AD6">
        <v>2.1213203435596402</v>
      </c>
      <c r="AE6">
        <v>2.1213203435596402</v>
      </c>
      <c r="AF6">
        <v>13.784139366281501</v>
      </c>
      <c r="AG6">
        <v>5.5799031512267403</v>
      </c>
      <c r="AH6">
        <v>24.889610839321701</v>
      </c>
      <c r="AI6">
        <v>7.3195053457108301</v>
      </c>
      <c r="AJ6">
        <v>5.5812683358445403</v>
      </c>
      <c r="AK6">
        <v>4.5729977543125004</v>
      </c>
      <c r="AL6" s="20">
        <v>17.2527610045465</v>
      </c>
      <c r="AM6" s="20">
        <v>10.772854927084101</v>
      </c>
      <c r="AN6" s="20" t="s">
        <v>58</v>
      </c>
    </row>
    <row r="7" spans="1:40" x14ac:dyDescent="0.25">
      <c r="A7" s="20">
        <v>5</v>
      </c>
      <c r="B7" s="20" t="s">
        <v>65</v>
      </c>
      <c r="C7" s="20" t="s">
        <v>61</v>
      </c>
      <c r="D7">
        <v>1</v>
      </c>
      <c r="E7" s="20" t="str">
        <f t="shared" si="0"/>
        <v>YAGI</v>
      </c>
      <c r="F7" s="20">
        <v>32.28</v>
      </c>
      <c r="G7" s="20">
        <v>132.53</v>
      </c>
      <c r="H7" s="20">
        <v>15</v>
      </c>
      <c r="I7" s="20">
        <v>7.53</v>
      </c>
      <c r="J7" s="20">
        <v>227</v>
      </c>
      <c r="K7" s="20">
        <v>12</v>
      </c>
      <c r="L7" s="20">
        <v>90</v>
      </c>
      <c r="M7" s="20">
        <v>10.32</v>
      </c>
      <c r="N7" s="20">
        <v>8</v>
      </c>
      <c r="O7" s="20">
        <v>7</v>
      </c>
      <c r="P7" s="20">
        <v>9</v>
      </c>
      <c r="Q7" s="20">
        <v>9</v>
      </c>
      <c r="R7">
        <v>72</v>
      </c>
      <c r="S7">
        <v>63</v>
      </c>
      <c r="T7">
        <v>131.82142857142901</v>
      </c>
      <c r="U7">
        <v>72</v>
      </c>
      <c r="V7">
        <v>63</v>
      </c>
      <c r="W7">
        <v>131.82142857142901</v>
      </c>
      <c r="X7">
        <v>101.490188893107</v>
      </c>
      <c r="Y7" s="20" t="s">
        <v>64</v>
      </c>
      <c r="Z7">
        <v>1215</v>
      </c>
      <c r="AA7">
        <v>648</v>
      </c>
      <c r="AB7">
        <v>1863</v>
      </c>
      <c r="AC7">
        <v>26.239283526803899</v>
      </c>
      <c r="AD7">
        <v>6.3639610306789303</v>
      </c>
      <c r="AE7">
        <v>6.3639610306789303</v>
      </c>
      <c r="AF7">
        <v>25.608771924887101</v>
      </c>
      <c r="AG7">
        <v>26.276772151426201</v>
      </c>
      <c r="AH7">
        <v>28.881116492697299</v>
      </c>
      <c r="AI7">
        <v>29.6612201561489</v>
      </c>
      <c r="AJ7">
        <v>14.8710819540958</v>
      </c>
      <c r="AK7">
        <v>14.9296531788076</v>
      </c>
      <c r="AL7" s="20">
        <v>15.5131294808623</v>
      </c>
      <c r="AM7" s="20">
        <v>10.9802025272761</v>
      </c>
      <c r="AN7" s="20" t="s">
        <v>58</v>
      </c>
    </row>
    <row r="8" spans="1:40" x14ac:dyDescent="0.25">
      <c r="A8" s="20">
        <v>6</v>
      </c>
      <c r="B8" s="20" t="s">
        <v>66</v>
      </c>
      <c r="C8" s="20" t="s">
        <v>61</v>
      </c>
      <c r="D8">
        <v>1</v>
      </c>
      <c r="E8" s="20" t="str">
        <f t="shared" si="0"/>
        <v>NAGA</v>
      </c>
      <c r="F8" s="20">
        <v>40.729999999999997</v>
      </c>
      <c r="G8" s="20">
        <v>143.58000000000001</v>
      </c>
      <c r="H8" s="20">
        <v>9</v>
      </c>
      <c r="I8" s="20">
        <v>8.35</v>
      </c>
      <c r="J8" s="20">
        <v>156</v>
      </c>
      <c r="K8" s="20">
        <v>20</v>
      </c>
      <c r="L8" s="20">
        <v>90</v>
      </c>
      <c r="M8" s="20">
        <v>5.58</v>
      </c>
      <c r="N8" s="20">
        <v>12</v>
      </c>
      <c r="O8" s="20">
        <v>6</v>
      </c>
      <c r="P8" s="20">
        <v>20</v>
      </c>
      <c r="Q8" s="20">
        <v>20</v>
      </c>
      <c r="R8">
        <v>240</v>
      </c>
      <c r="S8">
        <v>120</v>
      </c>
      <c r="T8">
        <v>241.375</v>
      </c>
      <c r="U8">
        <v>240</v>
      </c>
      <c r="V8">
        <v>120</v>
      </c>
      <c r="W8">
        <v>241.375</v>
      </c>
      <c r="X8">
        <v>185.53079069463001</v>
      </c>
      <c r="Y8" s="20" t="s">
        <v>64</v>
      </c>
      <c r="Z8" s="28">
        <v>6000</v>
      </c>
      <c r="AA8">
        <v>2000</v>
      </c>
      <c r="AB8">
        <v>8000</v>
      </c>
      <c r="AC8">
        <v>102.95630140986999</v>
      </c>
      <c r="AD8">
        <v>31.6227766016838</v>
      </c>
      <c r="AE8">
        <v>50.990195135927898</v>
      </c>
      <c r="AF8">
        <v>75.824475682049297</v>
      </c>
      <c r="AG8">
        <v>49.755284410450798</v>
      </c>
      <c r="AH8">
        <v>81.862682926476793</v>
      </c>
      <c r="AI8">
        <v>52.727547436196801</v>
      </c>
      <c r="AJ8">
        <v>35.401270261076903</v>
      </c>
      <c r="AK8">
        <v>32.2094637843797</v>
      </c>
      <c r="AL8" s="20">
        <v>103.017401239596</v>
      </c>
      <c r="AM8" s="20">
        <v>96.356540246368297</v>
      </c>
      <c r="AN8" s="20" t="s">
        <v>58</v>
      </c>
    </row>
    <row r="9" spans="1:40" x14ac:dyDescent="0.25">
      <c r="A9" s="20">
        <v>7</v>
      </c>
      <c r="B9" s="20" t="s">
        <v>67</v>
      </c>
      <c r="C9" s="20" t="s">
        <v>61</v>
      </c>
      <c r="D9">
        <v>0</v>
      </c>
      <c r="E9" s="20" t="str">
        <f t="shared" si="0"/>
        <v>HEAT</v>
      </c>
      <c r="F9" s="20">
        <v>34.43</v>
      </c>
      <c r="G9" s="20">
        <v>-118.37</v>
      </c>
      <c r="H9" s="20">
        <v>13</v>
      </c>
      <c r="I9" s="20">
        <v>6.82</v>
      </c>
      <c r="J9" s="20">
        <v>285</v>
      </c>
      <c r="K9" s="20">
        <v>50</v>
      </c>
      <c r="L9" s="20">
        <v>83</v>
      </c>
      <c r="M9" s="20">
        <v>0.01</v>
      </c>
      <c r="N9" s="20">
        <v>18</v>
      </c>
      <c r="O9" s="20">
        <v>20</v>
      </c>
      <c r="P9" s="20">
        <v>1</v>
      </c>
      <c r="Q9" s="20">
        <v>1</v>
      </c>
      <c r="R9">
        <v>18</v>
      </c>
      <c r="S9">
        <v>20</v>
      </c>
      <c r="T9">
        <v>160.09418041395401</v>
      </c>
      <c r="U9">
        <v>15</v>
      </c>
      <c r="V9">
        <v>18</v>
      </c>
      <c r="W9">
        <v>213.45890721860499</v>
      </c>
      <c r="X9">
        <v>138.90688780899299</v>
      </c>
      <c r="Y9" s="20" t="s">
        <v>57</v>
      </c>
      <c r="Z9">
        <v>101</v>
      </c>
      <c r="AA9">
        <v>52</v>
      </c>
      <c r="AB9">
        <v>153</v>
      </c>
      <c r="AC9">
        <v>0</v>
      </c>
      <c r="AD9">
        <v>0.5</v>
      </c>
      <c r="AE9">
        <v>3.0413812651491101</v>
      </c>
      <c r="AF9">
        <v>17.999999965770701</v>
      </c>
      <c r="AG9">
        <v>19.9999996079254</v>
      </c>
      <c r="AH9">
        <v>6.7443099841346399</v>
      </c>
      <c r="AI9">
        <v>3.7833606314565098</v>
      </c>
      <c r="AJ9">
        <v>2.5230927145168001</v>
      </c>
      <c r="AK9">
        <v>2.3744457969104902</v>
      </c>
      <c r="AL9" s="20">
        <v>6.9311934246563904</v>
      </c>
      <c r="AM9" s="20">
        <v>6.0611167172394902</v>
      </c>
      <c r="AN9" s="20" t="s">
        <v>58</v>
      </c>
    </row>
    <row r="10" spans="1:40" x14ac:dyDescent="0.25">
      <c r="A10" s="20">
        <v>8</v>
      </c>
      <c r="B10" s="20" t="s">
        <v>68</v>
      </c>
      <c r="C10" s="20" t="s">
        <v>61</v>
      </c>
      <c r="D10">
        <v>1</v>
      </c>
      <c r="E10" s="20" t="str">
        <f t="shared" si="0"/>
        <v>HART</v>
      </c>
      <c r="F10" s="20">
        <v>-12.39</v>
      </c>
      <c r="G10" s="20">
        <v>-77.760000000000005</v>
      </c>
      <c r="H10" s="20">
        <v>12</v>
      </c>
      <c r="I10" s="20">
        <v>8.01</v>
      </c>
      <c r="J10" s="20">
        <v>350</v>
      </c>
      <c r="K10" s="20">
        <v>17.3</v>
      </c>
      <c r="L10" s="20">
        <v>92.5</v>
      </c>
      <c r="M10" s="20">
        <v>2.4</v>
      </c>
      <c r="N10" s="20">
        <v>15</v>
      </c>
      <c r="O10" s="20">
        <v>12</v>
      </c>
      <c r="P10" s="20">
        <v>16.666666666699999</v>
      </c>
      <c r="Q10" s="20">
        <v>14</v>
      </c>
      <c r="R10">
        <v>250</v>
      </c>
      <c r="S10">
        <v>168</v>
      </c>
      <c r="T10">
        <v>85.223778477777799</v>
      </c>
      <c r="U10">
        <v>250.00000000049999</v>
      </c>
      <c r="V10">
        <v>140</v>
      </c>
      <c r="W10">
        <v>102.26853417333299</v>
      </c>
      <c r="X10">
        <v>112.646532254889</v>
      </c>
      <c r="Y10" s="20" t="s">
        <v>69</v>
      </c>
      <c r="Z10" s="28">
        <v>6766.6666666802003</v>
      </c>
      <c r="AA10">
        <v>1633.3333333365999</v>
      </c>
      <c r="AB10">
        <v>8400.0000000168002</v>
      </c>
      <c r="AC10">
        <v>206.822962404489</v>
      </c>
      <c r="AD10">
        <v>29.222593998443099</v>
      </c>
      <c r="AE10">
        <v>41.157745322087798</v>
      </c>
      <c r="AF10">
        <v>55.410620736611797</v>
      </c>
      <c r="AG10">
        <v>36.313013793131702</v>
      </c>
      <c r="AH10">
        <v>159.658044567345</v>
      </c>
      <c r="AI10">
        <v>85.455503211899298</v>
      </c>
      <c r="AJ10">
        <v>28.090416086040499</v>
      </c>
      <c r="AK10">
        <v>22.5487867474864</v>
      </c>
      <c r="AL10" s="20">
        <v>102.44256264976001</v>
      </c>
      <c r="AM10" s="20">
        <v>46.413208737384203</v>
      </c>
      <c r="AN10" s="20" t="s">
        <v>58</v>
      </c>
    </row>
    <row r="11" spans="1:40" x14ac:dyDescent="0.25">
      <c r="A11" s="20">
        <v>9</v>
      </c>
      <c r="B11" s="20" t="s">
        <v>70</v>
      </c>
      <c r="C11" s="20" t="s">
        <v>61</v>
      </c>
      <c r="D11">
        <v>1</v>
      </c>
      <c r="E11" s="20" t="str">
        <f t="shared" si="0"/>
        <v>YAMA</v>
      </c>
      <c r="F11" s="20">
        <v>38.15</v>
      </c>
      <c r="G11" s="20">
        <v>142.167</v>
      </c>
      <c r="H11" s="20">
        <v>37</v>
      </c>
      <c r="I11" s="20">
        <v>7.61</v>
      </c>
      <c r="J11" s="20">
        <v>200</v>
      </c>
      <c r="K11" s="20">
        <v>20</v>
      </c>
      <c r="L11" s="20">
        <v>91.327617050541605</v>
      </c>
      <c r="M11" s="20">
        <v>35.28</v>
      </c>
      <c r="N11" s="20">
        <v>8</v>
      </c>
      <c r="O11" s="20">
        <v>7</v>
      </c>
      <c r="P11" s="20">
        <v>10</v>
      </c>
      <c r="Q11" s="20">
        <v>10</v>
      </c>
      <c r="R11">
        <v>80</v>
      </c>
      <c r="S11">
        <v>70</v>
      </c>
      <c r="T11">
        <v>77.946428571428598</v>
      </c>
      <c r="U11">
        <v>80</v>
      </c>
      <c r="V11">
        <v>70</v>
      </c>
      <c r="W11">
        <v>77.946428571428598</v>
      </c>
      <c r="X11">
        <v>41.524765728793298</v>
      </c>
      <c r="Y11" s="20" t="s">
        <v>64</v>
      </c>
      <c r="Z11">
        <v>2300</v>
      </c>
      <c r="AA11">
        <v>600</v>
      </c>
      <c r="AB11">
        <v>2900</v>
      </c>
      <c r="AC11">
        <v>35.355339059327399</v>
      </c>
      <c r="AD11">
        <v>7.0710678118654799</v>
      </c>
      <c r="AE11">
        <v>15.8113883008419</v>
      </c>
      <c r="AF11">
        <v>41.678230211450398</v>
      </c>
      <c r="AG11">
        <v>39.398840463123797</v>
      </c>
      <c r="AH11">
        <v>20.712222517180699</v>
      </c>
      <c r="AI11">
        <v>19.981550640825699</v>
      </c>
      <c r="AJ11">
        <v>18.152770780729401</v>
      </c>
      <c r="AK11">
        <v>18.1041230819479</v>
      </c>
      <c r="AL11" s="20">
        <v>32.360002332045703</v>
      </c>
      <c r="AM11" s="20">
        <v>31.262937931358898</v>
      </c>
      <c r="AN11" s="20" t="s">
        <v>58</v>
      </c>
    </row>
    <row r="12" spans="1:40" x14ac:dyDescent="0.25">
      <c r="A12" s="20">
        <v>10</v>
      </c>
      <c r="B12" s="20" t="s">
        <v>71</v>
      </c>
      <c r="C12" s="20" t="s">
        <v>56</v>
      </c>
      <c r="D12">
        <v>0</v>
      </c>
      <c r="E12" s="20" t="str">
        <f t="shared" si="0"/>
        <v>HART</v>
      </c>
      <c r="F12" s="20">
        <v>33.22</v>
      </c>
      <c r="G12" s="20">
        <v>57.36</v>
      </c>
      <c r="H12" s="20">
        <v>5.5</v>
      </c>
      <c r="I12" s="20">
        <v>7.09</v>
      </c>
      <c r="J12" s="20">
        <v>330</v>
      </c>
      <c r="K12" s="20">
        <v>25</v>
      </c>
      <c r="L12" s="20">
        <v>125</v>
      </c>
      <c r="M12" s="20">
        <v>1</v>
      </c>
      <c r="N12" s="20">
        <v>20</v>
      </c>
      <c r="O12" s="20">
        <v>10</v>
      </c>
      <c r="P12" s="20">
        <v>4.75</v>
      </c>
      <c r="Q12" s="20">
        <v>4.5</v>
      </c>
      <c r="R12">
        <v>95</v>
      </c>
      <c r="S12">
        <v>45</v>
      </c>
      <c r="T12">
        <v>34.134999999999998</v>
      </c>
      <c r="U12">
        <v>95</v>
      </c>
      <c r="V12">
        <v>45</v>
      </c>
      <c r="W12">
        <v>34.134999999999998</v>
      </c>
      <c r="X12">
        <v>34.5209393159613</v>
      </c>
      <c r="Y12" s="20" t="s">
        <v>57</v>
      </c>
      <c r="Z12" s="28">
        <v>812.25</v>
      </c>
      <c r="AA12">
        <v>363.375</v>
      </c>
      <c r="AB12">
        <v>1175.625</v>
      </c>
      <c r="AC12">
        <v>6.4855608855364197</v>
      </c>
      <c r="AD12">
        <v>4.0388736053508802</v>
      </c>
      <c r="AE12">
        <v>1.8027756377319899</v>
      </c>
      <c r="AF12">
        <v>22.316961886165601</v>
      </c>
      <c r="AG12">
        <v>19.264545317261899</v>
      </c>
      <c r="AH12">
        <v>20.903917657856599</v>
      </c>
      <c r="AI12">
        <v>18.107540328876301</v>
      </c>
      <c r="AJ12">
        <v>8.7603636889096101</v>
      </c>
      <c r="AK12">
        <v>8.1599259399802992</v>
      </c>
      <c r="AL12" s="20">
        <v>3.09159060840856</v>
      </c>
      <c r="AM12" s="20">
        <v>7.8014330029809296</v>
      </c>
      <c r="AN12" s="20" t="s">
        <v>58</v>
      </c>
    </row>
    <row r="13" spans="1:40" x14ac:dyDescent="0.25">
      <c r="A13" s="20">
        <v>11</v>
      </c>
      <c r="B13" s="20" t="s">
        <v>72</v>
      </c>
      <c r="C13" s="20" t="s">
        <v>63</v>
      </c>
      <c r="D13">
        <v>0</v>
      </c>
      <c r="E13" s="20" t="str">
        <f t="shared" si="0"/>
        <v>LIUx</v>
      </c>
      <c r="F13" s="20">
        <v>36.97</v>
      </c>
      <c r="G13" s="20">
        <v>-121.51</v>
      </c>
      <c r="H13" s="20">
        <v>8</v>
      </c>
      <c r="I13" s="20">
        <v>5.92</v>
      </c>
      <c r="J13" s="20">
        <v>334</v>
      </c>
      <c r="K13" s="20">
        <v>80</v>
      </c>
      <c r="L13" s="20">
        <v>176</v>
      </c>
      <c r="M13" s="20">
        <v>2</v>
      </c>
      <c r="N13" s="20">
        <v>20</v>
      </c>
      <c r="O13" s="20">
        <v>20</v>
      </c>
      <c r="P13" s="20">
        <v>0.5</v>
      </c>
      <c r="Q13" s="20">
        <v>0.5</v>
      </c>
      <c r="R13">
        <v>10</v>
      </c>
      <c r="S13">
        <v>10</v>
      </c>
      <c r="T13">
        <v>26.074999999999999</v>
      </c>
      <c r="U13">
        <v>6</v>
      </c>
      <c r="V13">
        <v>6.5</v>
      </c>
      <c r="W13">
        <v>66.858974358974294</v>
      </c>
      <c r="X13">
        <v>36.655404692007203</v>
      </c>
      <c r="Y13" s="20" t="s">
        <v>57</v>
      </c>
      <c r="Z13">
        <v>13.5</v>
      </c>
      <c r="AA13">
        <v>16.25</v>
      </c>
      <c r="AB13">
        <v>29.75</v>
      </c>
      <c r="AC13">
        <v>0</v>
      </c>
      <c r="AD13">
        <v>0.70710678118654802</v>
      </c>
      <c r="AE13">
        <v>0</v>
      </c>
      <c r="AF13">
        <v>6.2202070972556696</v>
      </c>
      <c r="AG13">
        <v>8.0181984905628099</v>
      </c>
      <c r="AH13">
        <v>2.2225654280557801</v>
      </c>
      <c r="AI13">
        <v>2.52732044332001</v>
      </c>
      <c r="AJ13">
        <v>1.1053552971309399</v>
      </c>
      <c r="AK13">
        <v>1.1225771725081499</v>
      </c>
      <c r="AL13" s="20">
        <v>1.6616470894868101</v>
      </c>
      <c r="AM13" s="20">
        <v>1.5488381451914199</v>
      </c>
      <c r="AN13" s="20" t="s">
        <v>58</v>
      </c>
    </row>
    <row r="14" spans="1:40" x14ac:dyDescent="0.25">
      <c r="A14" s="20">
        <v>12</v>
      </c>
      <c r="B14" s="20" t="s">
        <v>73</v>
      </c>
      <c r="C14" s="20" t="s">
        <v>63</v>
      </c>
      <c r="D14">
        <v>0</v>
      </c>
      <c r="E14" s="20" t="str">
        <f t="shared" si="0"/>
        <v>ARCH</v>
      </c>
      <c r="F14" s="20">
        <v>32.643999999999998</v>
      </c>
      <c r="G14" s="20">
        <v>-115.309</v>
      </c>
      <c r="H14" s="20">
        <v>8</v>
      </c>
      <c r="I14" s="20">
        <v>6.53</v>
      </c>
      <c r="J14" s="20">
        <v>323</v>
      </c>
      <c r="K14" s="20">
        <v>80</v>
      </c>
      <c r="L14" s="20">
        <v>164.364367146771</v>
      </c>
      <c r="M14" s="20">
        <v>0.01</v>
      </c>
      <c r="N14" s="20">
        <v>15</v>
      </c>
      <c r="O14" s="20">
        <v>14</v>
      </c>
      <c r="P14" s="20">
        <v>2.5</v>
      </c>
      <c r="Q14" s="20">
        <v>1</v>
      </c>
      <c r="R14">
        <v>35</v>
      </c>
      <c r="S14">
        <v>13</v>
      </c>
      <c r="T14">
        <v>46.533207034993197</v>
      </c>
      <c r="U14">
        <v>35</v>
      </c>
      <c r="V14">
        <v>11</v>
      </c>
      <c r="W14">
        <v>63.454373229536202</v>
      </c>
      <c r="X14">
        <v>43.388741006242903</v>
      </c>
      <c r="Y14" s="20" t="s">
        <v>69</v>
      </c>
      <c r="Z14">
        <v>150</v>
      </c>
      <c r="AA14">
        <v>40</v>
      </c>
      <c r="AB14">
        <v>190</v>
      </c>
      <c r="AC14">
        <v>20.396078054371099</v>
      </c>
      <c r="AD14">
        <v>0</v>
      </c>
      <c r="AE14">
        <v>1</v>
      </c>
      <c r="AF14">
        <v>11.532362039665999</v>
      </c>
      <c r="AG14">
        <v>9.9053037710197405</v>
      </c>
      <c r="AH14">
        <v>10.265025909403199</v>
      </c>
      <c r="AI14">
        <v>8.2813437141131203</v>
      </c>
      <c r="AJ14">
        <v>4.6976452483653004</v>
      </c>
      <c r="AK14">
        <v>2.1068150051235301</v>
      </c>
      <c r="AL14" s="20">
        <v>19.113181306365501</v>
      </c>
      <c r="AM14" s="20">
        <v>17.126015165531101</v>
      </c>
      <c r="AN14" s="20" t="s">
        <v>58</v>
      </c>
    </row>
    <row r="15" spans="1:40" x14ac:dyDescent="0.25">
      <c r="A15" s="20">
        <v>13</v>
      </c>
      <c r="B15" s="20" t="s">
        <v>74</v>
      </c>
      <c r="C15" s="20" t="s">
        <v>63</v>
      </c>
      <c r="D15">
        <v>0</v>
      </c>
      <c r="E15" s="20" t="str">
        <f t="shared" si="0"/>
        <v>HART</v>
      </c>
      <c r="F15" s="20">
        <v>32.643999999999998</v>
      </c>
      <c r="G15" s="20">
        <v>-115.309</v>
      </c>
      <c r="H15" s="20">
        <v>8</v>
      </c>
      <c r="I15" s="20">
        <v>6.58</v>
      </c>
      <c r="J15" s="20">
        <v>323</v>
      </c>
      <c r="K15" s="20">
        <v>90</v>
      </c>
      <c r="L15" s="20">
        <v>160.16343763648601</v>
      </c>
      <c r="M15" s="20">
        <v>0.01</v>
      </c>
      <c r="N15" s="20">
        <v>14</v>
      </c>
      <c r="O15" s="20">
        <v>4</v>
      </c>
      <c r="P15" s="20">
        <v>3</v>
      </c>
      <c r="Q15" s="20">
        <v>2.6</v>
      </c>
      <c r="R15">
        <v>42</v>
      </c>
      <c r="S15">
        <v>10.4</v>
      </c>
      <c r="T15">
        <v>59.344642857142901</v>
      </c>
      <c r="U15">
        <v>36</v>
      </c>
      <c r="V15">
        <v>10.4</v>
      </c>
      <c r="W15">
        <v>69.235416666666694</v>
      </c>
      <c r="X15">
        <v>48.2221551005103</v>
      </c>
      <c r="Y15" s="20" t="s">
        <v>57</v>
      </c>
      <c r="Z15">
        <v>101.4</v>
      </c>
      <c r="AA15">
        <v>62.4</v>
      </c>
      <c r="AB15">
        <v>163.80000000000001</v>
      </c>
      <c r="AC15">
        <v>14.1230308361909</v>
      </c>
      <c r="AD15">
        <v>1.0295630140987</v>
      </c>
      <c r="AE15">
        <v>5.5731499172371102</v>
      </c>
      <c r="AF15">
        <v>13.152092637188099</v>
      </c>
      <c r="AG15">
        <v>5.7194594685754101</v>
      </c>
      <c r="AH15">
        <v>7.8779916802307799</v>
      </c>
      <c r="AI15">
        <v>4.1081892542306804</v>
      </c>
      <c r="AJ15">
        <v>5.4784814527726198</v>
      </c>
      <c r="AK15">
        <v>4.2830353729975803</v>
      </c>
      <c r="AL15" s="20">
        <v>15.433710093169401</v>
      </c>
      <c r="AM15" s="20">
        <v>16.551954289448702</v>
      </c>
      <c r="AN15" s="20" t="s">
        <v>58</v>
      </c>
    </row>
    <row r="16" spans="1:40" x14ac:dyDescent="0.25">
      <c r="A16" s="20">
        <v>14</v>
      </c>
      <c r="B16" s="20" t="s">
        <v>75</v>
      </c>
      <c r="C16" s="20" t="s">
        <v>63</v>
      </c>
      <c r="D16">
        <v>0</v>
      </c>
      <c r="E16" s="20" t="str">
        <f t="shared" si="0"/>
        <v>ZENG</v>
      </c>
      <c r="F16" s="20">
        <v>32.643999999999998</v>
      </c>
      <c r="G16" s="20">
        <v>-115.309</v>
      </c>
      <c r="H16" s="20">
        <v>8</v>
      </c>
      <c r="I16" s="20">
        <v>6.35</v>
      </c>
      <c r="J16" s="20">
        <v>323</v>
      </c>
      <c r="K16" s="20">
        <v>90</v>
      </c>
      <c r="L16" s="20">
        <v>149.580237655883</v>
      </c>
      <c r="M16" s="20">
        <v>0.01</v>
      </c>
      <c r="N16" s="20">
        <v>84</v>
      </c>
      <c r="O16" s="20">
        <v>20</v>
      </c>
      <c r="P16" s="20">
        <v>0.5</v>
      </c>
      <c r="Q16" s="20">
        <v>0.5</v>
      </c>
      <c r="R16">
        <v>42</v>
      </c>
      <c r="S16">
        <v>10</v>
      </c>
      <c r="T16">
        <v>41.185332656109999</v>
      </c>
      <c r="U16">
        <v>23</v>
      </c>
      <c r="V16">
        <v>9</v>
      </c>
      <c r="W16">
        <v>83.564443070368199</v>
      </c>
      <c r="X16">
        <v>73.205723938980995</v>
      </c>
      <c r="Y16" s="20" t="s">
        <v>76</v>
      </c>
      <c r="Z16">
        <v>35.25</v>
      </c>
      <c r="AA16">
        <v>6</v>
      </c>
      <c r="AB16">
        <v>41.25</v>
      </c>
      <c r="AC16">
        <v>14.3003496460751</v>
      </c>
      <c r="AD16">
        <v>8.5146931829631995</v>
      </c>
      <c r="AE16">
        <v>18.062391868188399</v>
      </c>
      <c r="AF16">
        <v>9.5557204298823102</v>
      </c>
      <c r="AG16">
        <v>8.4110119001566392</v>
      </c>
      <c r="AH16">
        <v>3.5528233033390801</v>
      </c>
      <c r="AI16">
        <v>3.2665357924911702</v>
      </c>
      <c r="AJ16">
        <v>1.1591932579617501</v>
      </c>
      <c r="AK16">
        <v>1.1356351513340399</v>
      </c>
      <c r="AL16" s="20">
        <v>20.233147474379798</v>
      </c>
      <c r="AM16" s="20">
        <v>18.9231163675543</v>
      </c>
      <c r="AN16" s="20" t="s">
        <v>58</v>
      </c>
    </row>
    <row r="17" spans="1:40" x14ac:dyDescent="0.25">
      <c r="A17" s="20">
        <v>15</v>
      </c>
      <c r="B17" s="20" t="s">
        <v>77</v>
      </c>
      <c r="C17" s="20" t="s">
        <v>61</v>
      </c>
      <c r="D17">
        <v>1</v>
      </c>
      <c r="E17" s="20" t="str">
        <f t="shared" si="0"/>
        <v>MEND</v>
      </c>
      <c r="F17" s="20">
        <v>17.46</v>
      </c>
      <c r="G17" s="20">
        <v>-101.46</v>
      </c>
      <c r="H17" s="20">
        <v>15</v>
      </c>
      <c r="I17" s="20">
        <v>7.39</v>
      </c>
      <c r="J17" s="20">
        <v>293</v>
      </c>
      <c r="K17" s="20">
        <v>14</v>
      </c>
      <c r="L17" s="20">
        <v>90</v>
      </c>
      <c r="M17" s="20">
        <v>2</v>
      </c>
      <c r="N17" s="20">
        <v>12</v>
      </c>
      <c r="O17" s="20">
        <v>12</v>
      </c>
      <c r="P17" s="20">
        <v>10</v>
      </c>
      <c r="Q17" s="20">
        <v>10</v>
      </c>
      <c r="R17">
        <v>120</v>
      </c>
      <c r="S17">
        <v>120</v>
      </c>
      <c r="T17">
        <v>28.805076862500002</v>
      </c>
      <c r="U17">
        <v>120</v>
      </c>
      <c r="V17">
        <v>120</v>
      </c>
      <c r="W17">
        <v>28.805076862500002</v>
      </c>
      <c r="X17">
        <v>29.645350348079699</v>
      </c>
      <c r="Y17" s="20" t="s">
        <v>69</v>
      </c>
      <c r="Z17" s="28">
        <v>3100</v>
      </c>
      <c r="AA17">
        <v>1100</v>
      </c>
      <c r="AB17">
        <v>4200</v>
      </c>
      <c r="AC17">
        <v>13.8050715318683</v>
      </c>
      <c r="AD17">
        <v>4.0718546143004701</v>
      </c>
      <c r="AE17">
        <v>12.2711042697876</v>
      </c>
      <c r="AF17">
        <v>40.450027765540902</v>
      </c>
      <c r="AG17">
        <v>55.599047264944097</v>
      </c>
      <c r="AH17">
        <v>27.420382811550201</v>
      </c>
      <c r="AI17">
        <v>35.254726433556698</v>
      </c>
      <c r="AJ17">
        <v>18.1777802478856</v>
      </c>
      <c r="AK17">
        <v>19.049076997275598</v>
      </c>
      <c r="AL17" s="20">
        <v>25.8354547724634</v>
      </c>
      <c r="AM17" s="20">
        <v>90.666227043701298</v>
      </c>
      <c r="AN17" s="20" t="s">
        <v>58</v>
      </c>
    </row>
    <row r="18" spans="1:40" x14ac:dyDescent="0.25">
      <c r="A18" s="20">
        <v>16</v>
      </c>
      <c r="B18" s="20" t="s">
        <v>78</v>
      </c>
      <c r="C18" s="20" t="s">
        <v>61</v>
      </c>
      <c r="D18">
        <v>1</v>
      </c>
      <c r="E18" s="20" t="str">
        <f t="shared" si="0"/>
        <v>MEND</v>
      </c>
      <c r="F18" s="20">
        <v>17.742000000000001</v>
      </c>
      <c r="G18" s="20">
        <v>-102.238</v>
      </c>
      <c r="H18" s="20">
        <v>15</v>
      </c>
      <c r="I18" s="20">
        <v>7.25</v>
      </c>
      <c r="J18" s="20">
        <v>300</v>
      </c>
      <c r="K18" s="20">
        <v>14</v>
      </c>
      <c r="L18" s="20">
        <v>90</v>
      </c>
      <c r="M18" s="20">
        <v>6</v>
      </c>
      <c r="N18" s="20">
        <v>12</v>
      </c>
      <c r="O18" s="20">
        <v>14</v>
      </c>
      <c r="P18" s="20">
        <v>5</v>
      </c>
      <c r="Q18" s="20">
        <v>5</v>
      </c>
      <c r="R18">
        <v>60</v>
      </c>
      <c r="S18">
        <v>70</v>
      </c>
      <c r="T18">
        <v>48.836342761904803</v>
      </c>
      <c r="U18">
        <v>45</v>
      </c>
      <c r="V18">
        <v>55</v>
      </c>
      <c r="W18">
        <v>82.873793777777806</v>
      </c>
      <c r="X18">
        <v>90.583794147048195</v>
      </c>
      <c r="Y18" s="20" t="s">
        <v>69</v>
      </c>
      <c r="Z18" s="28">
        <v>250</v>
      </c>
      <c r="AA18">
        <v>125</v>
      </c>
      <c r="AB18">
        <v>375</v>
      </c>
      <c r="AC18">
        <v>18.069310999592702</v>
      </c>
      <c r="AD18">
        <v>2.54950975679639</v>
      </c>
      <c r="AE18">
        <v>2.54950975679639</v>
      </c>
      <c r="AF18">
        <v>19.333132385911501</v>
      </c>
      <c r="AG18">
        <v>19.3622520225254</v>
      </c>
      <c r="AH18">
        <v>9.2054263002151195</v>
      </c>
      <c r="AI18">
        <v>9.1988918273107103</v>
      </c>
      <c r="AJ18">
        <v>9.0116252414784395</v>
      </c>
      <c r="AK18">
        <v>8.9721589374055508</v>
      </c>
      <c r="AL18" s="20">
        <v>5.4535372090048098</v>
      </c>
      <c r="AM18" s="20">
        <v>6.5712858665561003</v>
      </c>
      <c r="AN18" s="20" t="s">
        <v>58</v>
      </c>
    </row>
    <row r="19" spans="1:40" x14ac:dyDescent="0.25">
      <c r="A19" s="20">
        <v>17</v>
      </c>
      <c r="B19" s="20" t="s">
        <v>79</v>
      </c>
      <c r="C19" s="20" t="s">
        <v>80</v>
      </c>
      <c r="D19">
        <v>0</v>
      </c>
      <c r="E19" s="20" t="str">
        <f t="shared" si="0"/>
        <v>MEND</v>
      </c>
      <c r="F19" s="20">
        <v>44.06</v>
      </c>
      <c r="G19" s="20">
        <v>-113.86</v>
      </c>
      <c r="H19" s="20">
        <v>16</v>
      </c>
      <c r="I19" s="20">
        <v>6.82</v>
      </c>
      <c r="J19" s="20">
        <v>152</v>
      </c>
      <c r="K19" s="20">
        <v>49</v>
      </c>
      <c r="L19" s="20">
        <v>-80</v>
      </c>
      <c r="M19" s="20">
        <v>1</v>
      </c>
      <c r="N19" s="20">
        <v>16</v>
      </c>
      <c r="O19" s="20">
        <v>8</v>
      </c>
      <c r="P19" s="20">
        <v>3.25</v>
      </c>
      <c r="Q19" s="20">
        <v>3.33</v>
      </c>
      <c r="R19">
        <v>52</v>
      </c>
      <c r="S19">
        <v>26.64</v>
      </c>
      <c r="T19">
        <v>35.72705078125</v>
      </c>
      <c r="U19">
        <v>42.25</v>
      </c>
      <c r="V19">
        <v>26.64</v>
      </c>
      <c r="W19">
        <v>43.971754807692299</v>
      </c>
      <c r="X19">
        <v>30.2994743009933</v>
      </c>
      <c r="Y19" s="20" t="s">
        <v>57</v>
      </c>
      <c r="Z19">
        <v>292.20749999999998</v>
      </c>
      <c r="AA19">
        <v>119.0475</v>
      </c>
      <c r="AB19">
        <v>411.255</v>
      </c>
      <c r="AC19">
        <v>23.4726095694535</v>
      </c>
      <c r="AD19">
        <v>1.75011428198275</v>
      </c>
      <c r="AE19">
        <v>6.01851310541067</v>
      </c>
      <c r="AF19">
        <v>25.2640311102545</v>
      </c>
      <c r="AG19">
        <v>20.977740221308199</v>
      </c>
      <c r="AH19">
        <v>7.7313739134291604</v>
      </c>
      <c r="AI19">
        <v>7.2543434014236796</v>
      </c>
      <c r="AJ19">
        <v>6.6943600917214701</v>
      </c>
      <c r="AK19">
        <v>6.8289874457568196</v>
      </c>
      <c r="AL19" s="20">
        <v>11.61959899222</v>
      </c>
      <c r="AM19" s="20">
        <v>16.610838559506899</v>
      </c>
      <c r="AN19" s="20" t="s">
        <v>58</v>
      </c>
    </row>
    <row r="20" spans="1:40" x14ac:dyDescent="0.25">
      <c r="A20" s="20">
        <v>18</v>
      </c>
      <c r="B20" s="20" t="s">
        <v>81</v>
      </c>
      <c r="C20" s="20" t="s">
        <v>61</v>
      </c>
      <c r="D20">
        <v>1</v>
      </c>
      <c r="E20" s="20" t="str">
        <f t="shared" si="0"/>
        <v>FUKU</v>
      </c>
      <c r="F20" s="20">
        <v>40.356999999999999</v>
      </c>
      <c r="G20" s="20">
        <v>139.077</v>
      </c>
      <c r="H20" s="20">
        <v>14</v>
      </c>
      <c r="I20" s="20">
        <v>7.58</v>
      </c>
      <c r="J20" s="20">
        <v>5</v>
      </c>
      <c r="K20" s="20">
        <v>20</v>
      </c>
      <c r="L20" s="20">
        <v>90</v>
      </c>
      <c r="M20" s="20">
        <v>5</v>
      </c>
      <c r="N20" s="20">
        <v>15</v>
      </c>
      <c r="O20" s="20">
        <v>5</v>
      </c>
      <c r="P20" s="20">
        <v>6</v>
      </c>
      <c r="Q20" s="20">
        <v>6</v>
      </c>
      <c r="R20">
        <v>90</v>
      </c>
      <c r="S20">
        <v>30</v>
      </c>
      <c r="T20">
        <v>476.305555555556</v>
      </c>
      <c r="U20">
        <v>90</v>
      </c>
      <c r="V20">
        <v>30</v>
      </c>
      <c r="W20">
        <v>476.305555555556</v>
      </c>
      <c r="X20">
        <v>217.49283553374599</v>
      </c>
      <c r="Y20" s="20" t="s">
        <v>64</v>
      </c>
      <c r="Z20" s="28">
        <v>828</v>
      </c>
      <c r="AA20">
        <v>1332</v>
      </c>
      <c r="AB20">
        <v>2160</v>
      </c>
      <c r="AC20">
        <v>0</v>
      </c>
      <c r="AD20">
        <v>4.2426406871192901</v>
      </c>
      <c r="AE20">
        <v>4.2426406871192901</v>
      </c>
      <c r="AF20">
        <v>29.7923737483362</v>
      </c>
      <c r="AG20">
        <v>25.528582734864202</v>
      </c>
      <c r="AH20">
        <v>17.5226363672008</v>
      </c>
      <c r="AI20">
        <v>15.8932015164561</v>
      </c>
      <c r="AJ20">
        <v>11.173058061230201</v>
      </c>
      <c r="AK20">
        <v>11.1127496296244</v>
      </c>
      <c r="AL20" s="20">
        <v>64.887856107595397</v>
      </c>
      <c r="AM20" s="20">
        <v>36.382104819402599</v>
      </c>
      <c r="AN20" s="20" t="s">
        <v>58</v>
      </c>
    </row>
    <row r="21" spans="1:40" x14ac:dyDescent="0.25">
      <c r="A21" s="20">
        <v>19</v>
      </c>
      <c r="B21" s="20" t="s">
        <v>82</v>
      </c>
      <c r="C21" s="20" t="s">
        <v>63</v>
      </c>
      <c r="D21">
        <v>0</v>
      </c>
      <c r="E21" s="20" t="str">
        <f t="shared" si="0"/>
        <v>BERO</v>
      </c>
      <c r="F21" s="20">
        <v>37.317</v>
      </c>
      <c r="G21" s="20">
        <v>-121.682</v>
      </c>
      <c r="H21" s="20">
        <v>8.5</v>
      </c>
      <c r="I21" s="20">
        <v>6.28</v>
      </c>
      <c r="J21" s="20">
        <v>150.1</v>
      </c>
      <c r="K21" s="20">
        <v>85</v>
      </c>
      <c r="L21" s="20">
        <v>180</v>
      </c>
      <c r="M21" s="20">
        <v>2.5</v>
      </c>
      <c r="N21" s="20">
        <v>61</v>
      </c>
      <c r="O21" s="20">
        <v>11</v>
      </c>
      <c r="P21" s="20">
        <v>0.5</v>
      </c>
      <c r="Q21" s="20">
        <v>1</v>
      </c>
      <c r="R21">
        <v>30</v>
      </c>
      <c r="S21">
        <v>10</v>
      </c>
      <c r="T21">
        <v>26.4534277198212</v>
      </c>
      <c r="U21">
        <v>25.5</v>
      </c>
      <c r="V21">
        <v>11</v>
      </c>
      <c r="W21">
        <v>31.640374331550799</v>
      </c>
      <c r="X21">
        <v>36.768981484040403</v>
      </c>
      <c r="Y21" s="20" t="s">
        <v>76</v>
      </c>
      <c r="Z21" s="28">
        <v>19.5</v>
      </c>
      <c r="AA21">
        <v>1.5</v>
      </c>
      <c r="AB21">
        <v>21</v>
      </c>
      <c r="AC21">
        <v>33.514922049737798</v>
      </c>
      <c r="AD21">
        <v>2.5</v>
      </c>
      <c r="AE21">
        <v>14.0089257261219</v>
      </c>
      <c r="AF21">
        <v>5.5566103207209103</v>
      </c>
      <c r="AG21">
        <v>6.0600965472157302</v>
      </c>
      <c r="AH21">
        <v>1.49504417111805</v>
      </c>
      <c r="AI21">
        <v>2.1578955559713502</v>
      </c>
      <c r="AJ21">
        <v>1.1118194906704999</v>
      </c>
      <c r="AK21">
        <v>1.99869459638725</v>
      </c>
      <c r="AL21" s="20">
        <v>14.5790433513314</v>
      </c>
      <c r="AM21" s="20">
        <v>4.1131882427139201</v>
      </c>
      <c r="AN21" s="20" t="s">
        <v>58</v>
      </c>
    </row>
    <row r="22" spans="1:40" x14ac:dyDescent="0.25">
      <c r="A22" s="20">
        <v>20</v>
      </c>
      <c r="B22" s="20" t="s">
        <v>83</v>
      </c>
      <c r="C22" s="20" t="s">
        <v>63</v>
      </c>
      <c r="D22">
        <v>0</v>
      </c>
      <c r="E22" s="20" t="str">
        <f t="shared" si="0"/>
        <v>HART</v>
      </c>
      <c r="F22" s="20">
        <v>37.317</v>
      </c>
      <c r="G22" s="20">
        <v>-121.682</v>
      </c>
      <c r="H22" s="20">
        <v>8.5</v>
      </c>
      <c r="I22" s="20">
        <v>6.07</v>
      </c>
      <c r="J22" s="20">
        <v>148</v>
      </c>
      <c r="K22" s="20">
        <v>90</v>
      </c>
      <c r="L22" s="20">
        <v>180</v>
      </c>
      <c r="M22" s="20">
        <v>0.5</v>
      </c>
      <c r="N22" s="20">
        <v>27</v>
      </c>
      <c r="O22" s="20">
        <v>6</v>
      </c>
      <c r="P22" s="20">
        <v>1</v>
      </c>
      <c r="Q22" s="20">
        <v>1.9166666666666701</v>
      </c>
      <c r="R22">
        <v>27</v>
      </c>
      <c r="S22">
        <v>11.5</v>
      </c>
      <c r="T22">
        <v>16.2456790123457</v>
      </c>
      <c r="U22">
        <v>27</v>
      </c>
      <c r="V22">
        <v>11.5</v>
      </c>
      <c r="W22">
        <v>16.2456790123457</v>
      </c>
      <c r="X22">
        <v>23.6863277877817</v>
      </c>
      <c r="Y22" s="20" t="s">
        <v>57</v>
      </c>
      <c r="Z22" s="28">
        <v>30.6666666666667</v>
      </c>
      <c r="AA22">
        <v>21.0833333333333</v>
      </c>
      <c r="AB22">
        <v>51.75</v>
      </c>
      <c r="AC22">
        <v>24.0833333333333</v>
      </c>
      <c r="AD22">
        <v>1.4743171677461799</v>
      </c>
      <c r="AE22">
        <v>1.3017082793177699</v>
      </c>
      <c r="AF22">
        <v>2.4243331943724602</v>
      </c>
      <c r="AG22">
        <v>4.2533470766149</v>
      </c>
      <c r="AH22">
        <v>5.9763376046219596</v>
      </c>
      <c r="AI22">
        <v>9.9620963666229496</v>
      </c>
      <c r="AJ22">
        <v>1.56233716822144</v>
      </c>
      <c r="AK22">
        <v>2.8706657335392798</v>
      </c>
      <c r="AL22" s="20">
        <v>15.1048461948475</v>
      </c>
      <c r="AM22" s="20">
        <v>14.510558721152</v>
      </c>
      <c r="AN22" s="20" t="s">
        <v>58</v>
      </c>
    </row>
    <row r="23" spans="1:40" x14ac:dyDescent="0.25">
      <c r="A23" s="20">
        <v>21</v>
      </c>
      <c r="B23" s="20" t="s">
        <v>84</v>
      </c>
      <c r="C23" s="20" t="s">
        <v>61</v>
      </c>
      <c r="D23">
        <v>1</v>
      </c>
      <c r="E23" s="20" t="str">
        <f t="shared" si="0"/>
        <v>MEND</v>
      </c>
      <c r="F23" s="20">
        <v>-33.125</v>
      </c>
      <c r="G23" s="20">
        <v>-71.61</v>
      </c>
      <c r="H23" s="20">
        <v>40</v>
      </c>
      <c r="I23" s="20">
        <v>8.16</v>
      </c>
      <c r="J23" s="20">
        <v>5</v>
      </c>
      <c r="K23" s="20">
        <v>25</v>
      </c>
      <c r="L23" s="20">
        <v>115</v>
      </c>
      <c r="M23" s="20">
        <v>6.4</v>
      </c>
      <c r="N23" s="20">
        <v>17</v>
      </c>
      <c r="O23" s="20">
        <v>11</v>
      </c>
      <c r="P23" s="20">
        <v>15</v>
      </c>
      <c r="Q23" s="20">
        <v>15</v>
      </c>
      <c r="R23">
        <v>255</v>
      </c>
      <c r="S23">
        <v>165</v>
      </c>
      <c r="T23">
        <v>79.375361711229999</v>
      </c>
      <c r="U23">
        <v>255</v>
      </c>
      <c r="V23">
        <v>150</v>
      </c>
      <c r="W23">
        <v>87.312897882352999</v>
      </c>
      <c r="X23">
        <v>76.207969776023702</v>
      </c>
      <c r="Y23" s="20" t="s">
        <v>69</v>
      </c>
      <c r="Z23">
        <v>10350</v>
      </c>
      <c r="AA23">
        <v>2700</v>
      </c>
      <c r="AB23">
        <v>13050</v>
      </c>
      <c r="AC23">
        <v>95.015788161757598</v>
      </c>
      <c r="AD23">
        <v>3.60555127546399</v>
      </c>
      <c r="AE23">
        <v>3.60555127546399</v>
      </c>
      <c r="AF23">
        <v>65.701830818167494</v>
      </c>
      <c r="AG23">
        <v>59.812131930402302</v>
      </c>
      <c r="AH23">
        <v>168.65879971477599</v>
      </c>
      <c r="AI23">
        <v>147.281327656722</v>
      </c>
      <c r="AJ23">
        <v>26.7956592273156</v>
      </c>
      <c r="AK23">
        <v>26.0535402247855</v>
      </c>
      <c r="AL23" s="20">
        <v>4.3271761623488496</v>
      </c>
      <c r="AM23" s="20">
        <v>39.111741092413702</v>
      </c>
      <c r="AN23" s="20" t="s">
        <v>58</v>
      </c>
    </row>
    <row r="24" spans="1:40" x14ac:dyDescent="0.25">
      <c r="A24" s="20">
        <v>22</v>
      </c>
      <c r="B24" s="20" t="s">
        <v>85</v>
      </c>
      <c r="C24" s="20" t="s">
        <v>61</v>
      </c>
      <c r="D24">
        <v>1</v>
      </c>
      <c r="E24" s="20" t="str">
        <f t="shared" si="0"/>
        <v>MEND</v>
      </c>
      <c r="F24" s="20">
        <v>18.18</v>
      </c>
      <c r="G24" s="20">
        <v>-102.57</v>
      </c>
      <c r="H24" s="20">
        <v>17</v>
      </c>
      <c r="I24" s="20">
        <v>8.01</v>
      </c>
      <c r="J24" s="20">
        <v>300</v>
      </c>
      <c r="K24" s="20">
        <v>14</v>
      </c>
      <c r="L24" s="20">
        <v>61.305632855712403</v>
      </c>
      <c r="M24" s="20">
        <v>6</v>
      </c>
      <c r="N24" s="20">
        <v>12</v>
      </c>
      <c r="O24" s="20">
        <v>10</v>
      </c>
      <c r="P24" s="20">
        <v>15</v>
      </c>
      <c r="Q24" s="20">
        <v>13.9</v>
      </c>
      <c r="R24">
        <v>180</v>
      </c>
      <c r="S24">
        <v>139</v>
      </c>
      <c r="T24">
        <v>139.4836</v>
      </c>
      <c r="U24">
        <v>180</v>
      </c>
      <c r="V24">
        <v>139</v>
      </c>
      <c r="W24">
        <v>139.4836</v>
      </c>
      <c r="X24">
        <v>126.166194244701</v>
      </c>
      <c r="Y24" s="20" t="s">
        <v>57</v>
      </c>
      <c r="Z24" s="28">
        <v>3544.5</v>
      </c>
      <c r="AA24">
        <v>625.5</v>
      </c>
      <c r="AB24">
        <v>4170</v>
      </c>
      <c r="AC24">
        <v>105.77636787108899</v>
      </c>
      <c r="AD24">
        <v>5.0089919145472797</v>
      </c>
      <c r="AE24">
        <v>5.0089919145472797</v>
      </c>
      <c r="AF24">
        <v>48.314093215764402</v>
      </c>
      <c r="AG24">
        <v>38.583373240673303</v>
      </c>
      <c r="AH24">
        <v>137.15398372907501</v>
      </c>
      <c r="AI24">
        <v>100.852170089789</v>
      </c>
      <c r="AJ24">
        <v>24.881197652613299</v>
      </c>
      <c r="AK24">
        <v>22.424508252434801</v>
      </c>
      <c r="AL24" s="20">
        <v>16.254569091796899</v>
      </c>
      <c r="AM24" s="20">
        <v>7.3716448130658003</v>
      </c>
      <c r="AN24" s="20" t="s">
        <v>58</v>
      </c>
    </row>
    <row r="25" spans="1:40" x14ac:dyDescent="0.25">
      <c r="A25" s="20">
        <v>23</v>
      </c>
      <c r="B25" s="20" t="s">
        <v>86</v>
      </c>
      <c r="C25" s="20" t="s">
        <v>61</v>
      </c>
      <c r="D25">
        <v>0</v>
      </c>
      <c r="E25" s="20" t="str">
        <f t="shared" si="0"/>
        <v>HART</v>
      </c>
      <c r="F25" s="20">
        <v>62.207999999999998</v>
      </c>
      <c r="G25" s="20">
        <v>-124.217</v>
      </c>
      <c r="H25" s="20">
        <v>8</v>
      </c>
      <c r="I25" s="20">
        <v>6.66</v>
      </c>
      <c r="J25" s="20">
        <v>160</v>
      </c>
      <c r="K25" s="20">
        <v>35</v>
      </c>
      <c r="L25" s="20">
        <v>90</v>
      </c>
      <c r="M25" s="20">
        <v>0.2</v>
      </c>
      <c r="N25" s="20">
        <v>15</v>
      </c>
      <c r="O25" s="20">
        <v>10</v>
      </c>
      <c r="P25" s="20">
        <v>2.66</v>
      </c>
      <c r="Q25" s="20">
        <v>1.74</v>
      </c>
      <c r="R25">
        <v>40</v>
      </c>
      <c r="S25">
        <v>17.399999999999999</v>
      </c>
      <c r="T25">
        <v>53.595895371200001</v>
      </c>
      <c r="U25">
        <v>31.92</v>
      </c>
      <c r="V25">
        <v>15.66</v>
      </c>
      <c r="W25">
        <v>74.438743571111104</v>
      </c>
      <c r="X25">
        <v>95.383897139640695</v>
      </c>
      <c r="Y25" s="20" t="s">
        <v>69</v>
      </c>
      <c r="Z25" s="28">
        <v>74.054400000000001</v>
      </c>
      <c r="AA25">
        <v>37.027200000000001</v>
      </c>
      <c r="AB25">
        <v>111.08159999999999</v>
      </c>
      <c r="AC25">
        <v>11.2842722406011</v>
      </c>
      <c r="AD25">
        <v>1.8137254478007401</v>
      </c>
      <c r="AE25">
        <v>1.4076931483814199</v>
      </c>
      <c r="AF25">
        <v>6.5687143338724203</v>
      </c>
      <c r="AG25">
        <v>4.49808122925395</v>
      </c>
      <c r="AH25">
        <v>11.2679878186955</v>
      </c>
      <c r="AI25">
        <v>8.0244190180688406</v>
      </c>
      <c r="AJ25">
        <v>4.3489092962436997</v>
      </c>
      <c r="AK25">
        <v>2.7242069627096801</v>
      </c>
      <c r="AL25" s="20">
        <v>2.66508890095621</v>
      </c>
      <c r="AM25" s="20">
        <v>4.9315368649134097</v>
      </c>
      <c r="AN25" s="20" t="s">
        <v>58</v>
      </c>
    </row>
    <row r="26" spans="1:40" x14ac:dyDescent="0.25">
      <c r="A26" s="20">
        <v>24</v>
      </c>
      <c r="B26" s="20" t="s">
        <v>87</v>
      </c>
      <c r="C26" s="20" t="s">
        <v>61</v>
      </c>
      <c r="D26">
        <v>0</v>
      </c>
      <c r="E26" s="20" t="str">
        <f t="shared" si="0"/>
        <v>HART</v>
      </c>
      <c r="F26" s="20">
        <v>62.186999999999998</v>
      </c>
      <c r="G26" s="20">
        <v>-124.24</v>
      </c>
      <c r="H26" s="20">
        <v>8</v>
      </c>
      <c r="I26" s="20">
        <v>6.66</v>
      </c>
      <c r="J26" s="20">
        <v>160</v>
      </c>
      <c r="K26" s="20">
        <v>25</v>
      </c>
      <c r="L26" s="20">
        <v>90</v>
      </c>
      <c r="M26" s="20">
        <v>2</v>
      </c>
      <c r="N26" s="20">
        <v>18</v>
      </c>
      <c r="O26" s="20">
        <v>9</v>
      </c>
      <c r="P26" s="20">
        <v>2.6666666666699999</v>
      </c>
      <c r="Q26" s="20">
        <v>2.36</v>
      </c>
      <c r="R26">
        <v>48</v>
      </c>
      <c r="S26">
        <v>21.24</v>
      </c>
      <c r="T26">
        <v>48.425076041170399</v>
      </c>
      <c r="U26">
        <v>32.000000000039996</v>
      </c>
      <c r="V26">
        <v>18.88</v>
      </c>
      <c r="W26">
        <v>81.717315819475004</v>
      </c>
      <c r="X26">
        <v>115.954307506379</v>
      </c>
      <c r="Y26" s="20" t="s">
        <v>69</v>
      </c>
      <c r="Z26">
        <v>81.813333333435594</v>
      </c>
      <c r="AA26">
        <v>18.8800000000236</v>
      </c>
      <c r="AB26">
        <v>100.69333333345899</v>
      </c>
      <c r="AC26">
        <v>12.0931941373704</v>
      </c>
      <c r="AD26">
        <v>1.1732623084310201</v>
      </c>
      <c r="AE26">
        <v>1.1732623084310201</v>
      </c>
      <c r="AF26">
        <v>8.9575555230877804</v>
      </c>
      <c r="AG26">
        <v>3.7518512295452102</v>
      </c>
      <c r="AH26">
        <v>8.5948340620885499</v>
      </c>
      <c r="AI26">
        <v>3.6614558011401002</v>
      </c>
      <c r="AJ26">
        <v>4.6911784250024997</v>
      </c>
      <c r="AK26">
        <v>3.4614831048196599</v>
      </c>
      <c r="AL26" s="20">
        <v>8.6227206443841293</v>
      </c>
      <c r="AM26" s="20">
        <v>159.81133708621999</v>
      </c>
      <c r="AN26" s="20" t="s">
        <v>58</v>
      </c>
    </row>
    <row r="27" spans="1:40" x14ac:dyDescent="0.25">
      <c r="A27" s="20">
        <v>25</v>
      </c>
      <c r="B27" s="20" t="s">
        <v>88</v>
      </c>
      <c r="C27" s="20" t="s">
        <v>61</v>
      </c>
      <c r="D27">
        <v>1</v>
      </c>
      <c r="E27" s="20" t="str">
        <f t="shared" si="0"/>
        <v>MEND</v>
      </c>
      <c r="F27" s="20">
        <v>17.597999999999999</v>
      </c>
      <c r="G27" s="20">
        <v>-101.819</v>
      </c>
      <c r="H27" s="20">
        <v>20</v>
      </c>
      <c r="I27" s="20">
        <v>7.42</v>
      </c>
      <c r="J27" s="20">
        <v>300</v>
      </c>
      <c r="K27" s="20">
        <v>14</v>
      </c>
      <c r="L27" s="20">
        <v>100</v>
      </c>
      <c r="M27" s="20">
        <v>12</v>
      </c>
      <c r="N27" s="20">
        <v>12</v>
      </c>
      <c r="O27" s="20">
        <v>12</v>
      </c>
      <c r="P27" s="20">
        <v>7.5</v>
      </c>
      <c r="Q27" s="20">
        <v>7.5</v>
      </c>
      <c r="R27">
        <v>90</v>
      </c>
      <c r="S27">
        <v>90</v>
      </c>
      <c r="T27">
        <v>42.884886868055602</v>
      </c>
      <c r="U27">
        <v>67.5</v>
      </c>
      <c r="V27">
        <v>67.5</v>
      </c>
      <c r="W27">
        <v>76.239798876543205</v>
      </c>
      <c r="X27">
        <v>68.896687702185005</v>
      </c>
      <c r="Y27" s="20" t="s">
        <v>69</v>
      </c>
      <c r="Z27" s="28">
        <v>900</v>
      </c>
      <c r="AA27">
        <v>1125</v>
      </c>
      <c r="AB27">
        <v>2025</v>
      </c>
      <c r="AC27">
        <v>13.290033860002</v>
      </c>
      <c r="AD27">
        <v>11.472793905583799</v>
      </c>
      <c r="AE27">
        <v>4.3732139211339804</v>
      </c>
      <c r="AF27">
        <v>29.528428724690102</v>
      </c>
      <c r="AG27">
        <v>34.361283132458098</v>
      </c>
      <c r="AH27">
        <v>28.504948268949999</v>
      </c>
      <c r="AI27">
        <v>33.1007104830027</v>
      </c>
      <c r="AJ27">
        <v>13.1854074278188</v>
      </c>
      <c r="AK27">
        <v>13.834328210919301</v>
      </c>
      <c r="AL27" s="20">
        <v>6.7941913904452198</v>
      </c>
      <c r="AM27" s="20">
        <v>27.6362131432655</v>
      </c>
      <c r="AN27" s="20" t="s">
        <v>58</v>
      </c>
    </row>
    <row r="28" spans="1:40" x14ac:dyDescent="0.25">
      <c r="A28" s="20">
        <v>26</v>
      </c>
      <c r="B28" s="20" t="s">
        <v>89</v>
      </c>
      <c r="C28" s="20" t="s">
        <v>61</v>
      </c>
      <c r="D28">
        <v>0</v>
      </c>
      <c r="E28" s="20" t="str">
        <f t="shared" si="0"/>
        <v>HART</v>
      </c>
      <c r="F28" s="20">
        <v>34</v>
      </c>
      <c r="G28" s="20">
        <v>-116.57</v>
      </c>
      <c r="H28" s="20">
        <v>11</v>
      </c>
      <c r="I28" s="20">
        <v>6.21</v>
      </c>
      <c r="J28" s="20">
        <v>287</v>
      </c>
      <c r="K28" s="20">
        <v>46</v>
      </c>
      <c r="L28" s="20">
        <v>118.32363086392</v>
      </c>
      <c r="M28" s="20">
        <v>12.1</v>
      </c>
      <c r="N28" s="20">
        <v>11</v>
      </c>
      <c r="O28" s="20">
        <v>8</v>
      </c>
      <c r="P28" s="20">
        <v>2</v>
      </c>
      <c r="Q28" s="20">
        <v>1.9</v>
      </c>
      <c r="R28">
        <v>22</v>
      </c>
      <c r="S28">
        <v>15.2</v>
      </c>
      <c r="T28">
        <v>14.5602272727273</v>
      </c>
      <c r="U28">
        <v>22</v>
      </c>
      <c r="V28">
        <v>15.2</v>
      </c>
      <c r="W28">
        <v>14.5602272727273</v>
      </c>
      <c r="X28">
        <v>11.8769605982003</v>
      </c>
      <c r="Y28" s="20" t="s">
        <v>57</v>
      </c>
      <c r="Z28" s="28">
        <v>95</v>
      </c>
      <c r="AA28">
        <v>41.8</v>
      </c>
      <c r="AB28">
        <v>136.80000000000001</v>
      </c>
      <c r="AC28">
        <v>2.18403296678416</v>
      </c>
      <c r="AD28">
        <v>2.18403296678416</v>
      </c>
      <c r="AE28">
        <v>0.63245553203367499</v>
      </c>
      <c r="AF28">
        <v>6.8218500798523998</v>
      </c>
      <c r="AG28">
        <v>4.7065922267228704</v>
      </c>
      <c r="AH28">
        <v>19.123206443546799</v>
      </c>
      <c r="AI28">
        <v>11.2316919802798</v>
      </c>
      <c r="AJ28">
        <v>3.4230320915628001</v>
      </c>
      <c r="AK28">
        <v>2.95885339186548</v>
      </c>
      <c r="AL28" s="20">
        <v>0.98536960070828095</v>
      </c>
      <c r="AM28" s="20">
        <v>2.95497967844112</v>
      </c>
      <c r="AN28" s="20" t="s">
        <v>58</v>
      </c>
    </row>
    <row r="29" spans="1:40" x14ac:dyDescent="0.25">
      <c r="A29" s="20">
        <v>27</v>
      </c>
      <c r="B29" s="20" t="s">
        <v>90</v>
      </c>
      <c r="C29" s="20" t="s">
        <v>61</v>
      </c>
      <c r="D29">
        <v>0</v>
      </c>
      <c r="E29" s="20" t="str">
        <f t="shared" si="0"/>
        <v>MEND</v>
      </c>
      <c r="F29" s="20">
        <v>34</v>
      </c>
      <c r="G29" s="20">
        <v>-116.57</v>
      </c>
      <c r="H29" s="20">
        <v>11</v>
      </c>
      <c r="I29" s="20">
        <v>6.14</v>
      </c>
      <c r="J29" s="20">
        <v>287</v>
      </c>
      <c r="K29" s="20">
        <v>46</v>
      </c>
      <c r="L29" s="20">
        <v>154</v>
      </c>
      <c r="M29" s="20">
        <v>4</v>
      </c>
      <c r="N29" s="20">
        <v>11</v>
      </c>
      <c r="O29" s="20">
        <v>8</v>
      </c>
      <c r="P29" s="20">
        <v>2</v>
      </c>
      <c r="Q29" s="20">
        <v>1.9</v>
      </c>
      <c r="R29">
        <v>22</v>
      </c>
      <c r="S29">
        <v>15.2</v>
      </c>
      <c r="T29">
        <v>12.6477272727273</v>
      </c>
      <c r="U29">
        <v>22</v>
      </c>
      <c r="V29">
        <v>15.2</v>
      </c>
      <c r="W29">
        <v>12.6477272727273</v>
      </c>
      <c r="X29">
        <v>12.7324725345985</v>
      </c>
      <c r="Y29" s="20" t="s">
        <v>57</v>
      </c>
      <c r="Z29" s="28">
        <v>22.8</v>
      </c>
      <c r="AA29">
        <v>3.8</v>
      </c>
      <c r="AB29">
        <v>26.6</v>
      </c>
      <c r="AC29">
        <v>2.18403296678416</v>
      </c>
      <c r="AD29">
        <v>0.63245553203367499</v>
      </c>
      <c r="AE29">
        <v>1.4142135623731</v>
      </c>
      <c r="AF29">
        <v>4.8637811550074099</v>
      </c>
      <c r="AG29">
        <v>4.2278363472631098</v>
      </c>
      <c r="AH29">
        <v>9.6446487211791396</v>
      </c>
      <c r="AI29">
        <v>8.1170634195274207</v>
      </c>
      <c r="AJ29">
        <v>3.1028100969079602</v>
      </c>
      <c r="AK29">
        <v>2.9680537127384699</v>
      </c>
      <c r="AL29" s="20">
        <v>2.19494040921388</v>
      </c>
      <c r="AM29" s="20">
        <v>2.2308963781404101</v>
      </c>
      <c r="AN29" s="20" t="s">
        <v>58</v>
      </c>
    </row>
    <row r="30" spans="1:40" x14ac:dyDescent="0.25">
      <c r="A30" s="20">
        <v>28</v>
      </c>
      <c r="B30" s="20" t="s">
        <v>91</v>
      </c>
      <c r="C30" s="20" t="s">
        <v>63</v>
      </c>
      <c r="D30">
        <v>0</v>
      </c>
      <c r="E30" s="20" t="str">
        <f t="shared" si="0"/>
        <v>LARS</v>
      </c>
      <c r="F30" s="20">
        <v>33.083300000000001</v>
      </c>
      <c r="G30" s="20">
        <v>-115.79600000000001</v>
      </c>
      <c r="H30" s="20">
        <v>10</v>
      </c>
      <c r="I30" s="20">
        <v>6.52</v>
      </c>
      <c r="J30" s="20">
        <v>40</v>
      </c>
      <c r="K30" s="20">
        <v>90</v>
      </c>
      <c r="L30" s="20">
        <v>0</v>
      </c>
      <c r="M30" s="20">
        <v>0.01</v>
      </c>
      <c r="N30" s="20">
        <v>10</v>
      </c>
      <c r="O30" s="20">
        <v>5</v>
      </c>
      <c r="P30" s="20">
        <v>2.5</v>
      </c>
      <c r="Q30" s="20">
        <v>2</v>
      </c>
      <c r="R30">
        <v>25</v>
      </c>
      <c r="S30">
        <v>10</v>
      </c>
      <c r="T30">
        <v>87.650400000000005</v>
      </c>
      <c r="U30">
        <v>22.5</v>
      </c>
      <c r="V30">
        <v>10</v>
      </c>
      <c r="W30">
        <v>97.389333333333298</v>
      </c>
      <c r="X30">
        <v>84.5297698788155</v>
      </c>
      <c r="Y30" s="20" t="s">
        <v>92</v>
      </c>
      <c r="Z30" s="28">
        <v>40</v>
      </c>
      <c r="AA30">
        <v>60</v>
      </c>
      <c r="AB30">
        <v>100</v>
      </c>
      <c r="AC30">
        <v>5.0990195135927801</v>
      </c>
      <c r="AD30">
        <v>1</v>
      </c>
      <c r="AE30">
        <v>1</v>
      </c>
      <c r="AF30">
        <v>22.6202597666401</v>
      </c>
      <c r="AG30">
        <v>4.4548336724087996</v>
      </c>
      <c r="AH30">
        <v>6.4741826508453704</v>
      </c>
      <c r="AI30">
        <v>2.8543582632602398</v>
      </c>
      <c r="AJ30">
        <v>5.2656573147228203</v>
      </c>
      <c r="AK30">
        <v>3.8006660525385101</v>
      </c>
      <c r="AL30" s="20">
        <v>4.3793392252713197</v>
      </c>
      <c r="AM30" s="20">
        <v>5.0964211609716896</v>
      </c>
      <c r="AN30" s="20" t="s">
        <v>58</v>
      </c>
    </row>
    <row r="31" spans="1:40" x14ac:dyDescent="0.25">
      <c r="A31" s="20">
        <v>29</v>
      </c>
      <c r="B31" s="20" t="s">
        <v>93</v>
      </c>
      <c r="C31" s="20" t="s">
        <v>63</v>
      </c>
      <c r="D31">
        <v>0</v>
      </c>
      <c r="E31" s="20" t="str">
        <f t="shared" si="0"/>
        <v>LARS</v>
      </c>
      <c r="F31" s="20">
        <v>33.016599999999997</v>
      </c>
      <c r="G31" s="20">
        <v>-115.85</v>
      </c>
      <c r="H31" s="20">
        <v>10</v>
      </c>
      <c r="I31" s="20">
        <v>6.6</v>
      </c>
      <c r="J31" s="20">
        <v>130</v>
      </c>
      <c r="K31" s="20">
        <v>90</v>
      </c>
      <c r="L31" s="20">
        <v>180</v>
      </c>
      <c r="M31" s="20">
        <v>0.01</v>
      </c>
      <c r="N31" s="20">
        <v>10</v>
      </c>
      <c r="O31" s="20">
        <v>5</v>
      </c>
      <c r="P31" s="20">
        <v>2.5</v>
      </c>
      <c r="Q31" s="20">
        <v>2</v>
      </c>
      <c r="R31">
        <v>25</v>
      </c>
      <c r="S31">
        <v>10</v>
      </c>
      <c r="T31">
        <v>112.0976</v>
      </c>
      <c r="U31">
        <v>25</v>
      </c>
      <c r="V31">
        <v>10</v>
      </c>
      <c r="W31">
        <v>112.0976</v>
      </c>
      <c r="X31">
        <v>90.108327653385103</v>
      </c>
      <c r="Y31" s="20" t="s">
        <v>92</v>
      </c>
      <c r="Z31" s="28">
        <v>80</v>
      </c>
      <c r="AA31">
        <v>50</v>
      </c>
      <c r="AB31">
        <v>130</v>
      </c>
      <c r="AC31">
        <v>6.2649820430708303</v>
      </c>
      <c r="AD31">
        <v>1.1180339887499</v>
      </c>
      <c r="AE31">
        <v>3.0413812651491101</v>
      </c>
      <c r="AF31">
        <v>11.4507691522569</v>
      </c>
      <c r="AG31">
        <v>7.62824222979203</v>
      </c>
      <c r="AH31">
        <v>4.25827285451515</v>
      </c>
      <c r="AI31">
        <v>3.1442488705792901</v>
      </c>
      <c r="AJ31">
        <v>4.79870353540836</v>
      </c>
      <c r="AK31">
        <v>3.7135378889847201</v>
      </c>
      <c r="AL31" s="20">
        <v>6.2548456583676</v>
      </c>
      <c r="AM31" s="20">
        <v>5.8309782867028401</v>
      </c>
      <c r="AN31" s="20" t="s">
        <v>58</v>
      </c>
    </row>
    <row r="32" spans="1:40" x14ac:dyDescent="0.25">
      <c r="A32" s="20">
        <v>30</v>
      </c>
      <c r="B32" s="20" t="s">
        <v>94</v>
      </c>
      <c r="C32" s="20" t="s">
        <v>63</v>
      </c>
      <c r="D32">
        <v>0</v>
      </c>
      <c r="E32" s="20" t="str">
        <f t="shared" si="0"/>
        <v>WALD</v>
      </c>
      <c r="F32" s="20">
        <v>33.016599999999997</v>
      </c>
      <c r="G32" s="20">
        <v>-115.85</v>
      </c>
      <c r="H32" s="20">
        <v>10</v>
      </c>
      <c r="I32" s="20">
        <v>6.51</v>
      </c>
      <c r="J32" s="20">
        <v>127</v>
      </c>
      <c r="K32" s="20">
        <v>90</v>
      </c>
      <c r="L32" s="20">
        <v>180</v>
      </c>
      <c r="M32" s="20">
        <v>0.5</v>
      </c>
      <c r="N32" s="20">
        <v>20</v>
      </c>
      <c r="O32" s="20">
        <v>10</v>
      </c>
      <c r="P32" s="20">
        <v>1</v>
      </c>
      <c r="Q32" s="20">
        <v>1.1499999999999999</v>
      </c>
      <c r="R32">
        <v>20</v>
      </c>
      <c r="S32">
        <v>11.5</v>
      </c>
      <c r="T32">
        <v>82.927400000000006</v>
      </c>
      <c r="U32">
        <v>18</v>
      </c>
      <c r="V32">
        <v>10.35</v>
      </c>
      <c r="W32">
        <v>102.37950617284</v>
      </c>
      <c r="X32">
        <v>91.969495078519898</v>
      </c>
      <c r="Y32" s="20" t="s">
        <v>57</v>
      </c>
      <c r="Z32" s="28">
        <v>26.45</v>
      </c>
      <c r="AA32">
        <v>10.35</v>
      </c>
      <c r="AB32">
        <v>36.799999999999997</v>
      </c>
      <c r="AC32">
        <v>6.4187712998672897</v>
      </c>
      <c r="AD32">
        <v>1.15352719950593</v>
      </c>
      <c r="AE32">
        <v>0.57499999999999896</v>
      </c>
      <c r="AF32">
        <v>5.2305602729558904</v>
      </c>
      <c r="AG32">
        <v>5.8355984733628699</v>
      </c>
      <c r="AH32">
        <v>3.1151889595585698</v>
      </c>
      <c r="AI32">
        <v>3.5166133519213099</v>
      </c>
      <c r="AJ32">
        <v>1.87466651579054</v>
      </c>
      <c r="AK32">
        <v>2.1889243428746599</v>
      </c>
      <c r="AL32" s="20">
        <v>0.41799527509291301</v>
      </c>
      <c r="AM32" s="20">
        <v>1.5471197788148101</v>
      </c>
      <c r="AN32" s="20" t="s">
        <v>58</v>
      </c>
    </row>
    <row r="33" spans="1:40" x14ac:dyDescent="0.25">
      <c r="A33" s="20">
        <v>31</v>
      </c>
      <c r="B33" s="20" t="s">
        <v>95</v>
      </c>
      <c r="C33" s="20" t="s">
        <v>61</v>
      </c>
      <c r="D33">
        <v>0</v>
      </c>
      <c r="E33" s="20" t="str">
        <f t="shared" si="0"/>
        <v>HART</v>
      </c>
      <c r="F33" s="20">
        <v>34.049999999999997</v>
      </c>
      <c r="G33" s="20">
        <v>-118.08</v>
      </c>
      <c r="H33" s="20">
        <v>14.6</v>
      </c>
      <c r="I33" s="20">
        <v>5.89</v>
      </c>
      <c r="J33" s="20">
        <v>280</v>
      </c>
      <c r="K33" s="20">
        <v>30</v>
      </c>
      <c r="L33" s="20">
        <v>90</v>
      </c>
      <c r="M33" s="20">
        <v>12</v>
      </c>
      <c r="N33" s="20">
        <v>10</v>
      </c>
      <c r="O33" s="20">
        <v>10</v>
      </c>
      <c r="P33" s="20">
        <v>1</v>
      </c>
      <c r="Q33" s="20">
        <v>1</v>
      </c>
      <c r="R33">
        <v>10</v>
      </c>
      <c r="S33">
        <v>10</v>
      </c>
      <c r="T33">
        <v>26.256</v>
      </c>
      <c r="U33">
        <v>10</v>
      </c>
      <c r="V33">
        <v>10</v>
      </c>
      <c r="W33">
        <v>26.256</v>
      </c>
      <c r="X33">
        <v>22.229438666649799</v>
      </c>
      <c r="Y33" s="20" t="s">
        <v>57</v>
      </c>
      <c r="Z33">
        <v>31</v>
      </c>
      <c r="AA33">
        <v>8</v>
      </c>
      <c r="AB33">
        <v>39</v>
      </c>
      <c r="AC33">
        <v>2.2360679774997898</v>
      </c>
      <c r="AD33">
        <v>0</v>
      </c>
      <c r="AE33">
        <v>0</v>
      </c>
      <c r="AF33">
        <v>2.7891925833877198</v>
      </c>
      <c r="AG33">
        <v>2.3398872308596901</v>
      </c>
      <c r="AH33">
        <v>7.2489086822588797</v>
      </c>
      <c r="AI33">
        <v>5.6138768965960404</v>
      </c>
      <c r="AJ33">
        <v>1.6059590827550001</v>
      </c>
      <c r="AK33">
        <v>1.4843869497009601</v>
      </c>
      <c r="AL33" s="20">
        <v>2.1599611709472901</v>
      </c>
      <c r="AM33" s="20">
        <v>1.0469752337089899</v>
      </c>
      <c r="AN33" s="20" t="s">
        <v>58</v>
      </c>
    </row>
    <row r="34" spans="1:40" x14ac:dyDescent="0.25">
      <c r="A34" s="20">
        <v>32</v>
      </c>
      <c r="B34" s="20" t="s">
        <v>96</v>
      </c>
      <c r="C34" s="20" t="s">
        <v>56</v>
      </c>
      <c r="D34">
        <v>0</v>
      </c>
      <c r="E34" s="20" t="str">
        <f t="shared" si="0"/>
        <v>BERO</v>
      </c>
      <c r="F34" s="20">
        <v>37.040999999999997</v>
      </c>
      <c r="G34" s="20">
        <v>-121.883</v>
      </c>
      <c r="H34" s="20">
        <v>17.600000000000001</v>
      </c>
      <c r="I34" s="20">
        <v>6.95</v>
      </c>
      <c r="J34" s="20">
        <v>130</v>
      </c>
      <c r="K34" s="20">
        <v>70</v>
      </c>
      <c r="L34" s="20">
        <v>136.139479478032</v>
      </c>
      <c r="M34" s="20">
        <v>4.8</v>
      </c>
      <c r="N34" s="20">
        <v>81</v>
      </c>
      <c r="O34" s="20">
        <v>15</v>
      </c>
      <c r="P34" s="20">
        <v>0.5</v>
      </c>
      <c r="Q34" s="20">
        <v>1</v>
      </c>
      <c r="R34">
        <v>40</v>
      </c>
      <c r="S34">
        <v>14</v>
      </c>
      <c r="T34">
        <v>131.44115226337399</v>
      </c>
      <c r="U34">
        <v>32</v>
      </c>
      <c r="V34">
        <v>15</v>
      </c>
      <c r="W34">
        <v>166.355208333333</v>
      </c>
      <c r="X34">
        <v>127.21705430679999</v>
      </c>
      <c r="Y34" s="20" t="s">
        <v>76</v>
      </c>
      <c r="Z34">
        <v>142</v>
      </c>
      <c r="AA34">
        <v>24.5</v>
      </c>
      <c r="AB34">
        <v>166.5</v>
      </c>
      <c r="AC34">
        <v>0</v>
      </c>
      <c r="AD34">
        <v>0.86023252670426198</v>
      </c>
      <c r="AE34">
        <v>4.0360872141221096</v>
      </c>
      <c r="AF34">
        <v>16.867447198335299</v>
      </c>
      <c r="AG34">
        <v>13.9999975362184</v>
      </c>
      <c r="AH34">
        <v>2.87609456388047</v>
      </c>
      <c r="AI34">
        <v>4.0665560753443</v>
      </c>
      <c r="AJ34">
        <v>1.2280777779318</v>
      </c>
      <c r="AK34">
        <v>2.3575682656564498</v>
      </c>
      <c r="AL34" s="20">
        <v>7.3876696258021699</v>
      </c>
      <c r="AM34" s="20">
        <v>9.8074788325032802</v>
      </c>
      <c r="AN34" s="20" t="s">
        <v>58</v>
      </c>
    </row>
    <row r="35" spans="1:40" x14ac:dyDescent="0.25">
      <c r="A35" s="20">
        <v>33</v>
      </c>
      <c r="B35" s="20" t="s">
        <v>97</v>
      </c>
      <c r="C35" s="20" t="s">
        <v>56</v>
      </c>
      <c r="D35">
        <v>0</v>
      </c>
      <c r="E35" s="20" t="str">
        <f t="shared" si="0"/>
        <v>EMOL</v>
      </c>
      <c r="F35" s="20">
        <v>37.040999999999997</v>
      </c>
      <c r="G35" s="20">
        <v>-121.883</v>
      </c>
      <c r="H35" s="20">
        <v>17.600000000000001</v>
      </c>
      <c r="I35" s="20">
        <v>6.91</v>
      </c>
      <c r="J35" s="20">
        <v>130</v>
      </c>
      <c r="K35" s="20">
        <v>70</v>
      </c>
      <c r="L35" s="20">
        <v>140</v>
      </c>
      <c r="M35" s="20">
        <v>4.8</v>
      </c>
      <c r="N35" s="20">
        <v>140</v>
      </c>
      <c r="O35" s="20">
        <v>56</v>
      </c>
      <c r="P35" s="20">
        <v>0.25</v>
      </c>
      <c r="Q35" s="20">
        <v>0.25</v>
      </c>
      <c r="R35">
        <v>35</v>
      </c>
      <c r="S35">
        <v>14</v>
      </c>
      <c r="T35">
        <v>146.11612255742699</v>
      </c>
      <c r="U35">
        <v>35</v>
      </c>
      <c r="V35">
        <v>14</v>
      </c>
      <c r="W35">
        <v>146.11612255742699</v>
      </c>
      <c r="X35">
        <v>95.297147613081094</v>
      </c>
      <c r="Y35" s="20" t="s">
        <v>64</v>
      </c>
      <c r="Z35">
        <v>188.5625</v>
      </c>
      <c r="AA35">
        <v>67.4375</v>
      </c>
      <c r="AB35">
        <v>256</v>
      </c>
      <c r="AC35">
        <v>9.1549167118002792</v>
      </c>
      <c r="AD35">
        <v>0</v>
      </c>
      <c r="AE35">
        <v>2.2360679774997898</v>
      </c>
      <c r="AF35">
        <v>34.999972203433202</v>
      </c>
      <c r="AG35">
        <v>13.999999999541799</v>
      </c>
      <c r="AH35">
        <v>5.3141204220449003</v>
      </c>
      <c r="AI35">
        <v>5.0720864869857101</v>
      </c>
      <c r="AJ35">
        <v>0.68764994800161805</v>
      </c>
      <c r="AK35">
        <v>0.68665790626004097</v>
      </c>
      <c r="AL35" s="20">
        <v>8.0010698747105096</v>
      </c>
      <c r="AM35" s="20">
        <v>11.8403916320365</v>
      </c>
      <c r="AN35" s="20" t="s">
        <v>58</v>
      </c>
    </row>
    <row r="36" spans="1:40" x14ac:dyDescent="0.25">
      <c r="A36" s="20">
        <v>34</v>
      </c>
      <c r="B36" s="20" t="s">
        <v>98</v>
      </c>
      <c r="C36" s="20" t="s">
        <v>56</v>
      </c>
      <c r="D36">
        <v>0</v>
      </c>
      <c r="E36" s="20" t="str">
        <f t="shared" si="0"/>
        <v>STEI</v>
      </c>
      <c r="F36" s="20">
        <v>37.040999999999997</v>
      </c>
      <c r="G36" s="20">
        <v>-121.883</v>
      </c>
      <c r="H36" s="20">
        <v>17.600000000000001</v>
      </c>
      <c r="I36" s="20">
        <v>6.99</v>
      </c>
      <c r="J36" s="20">
        <v>126</v>
      </c>
      <c r="K36" s="20">
        <v>70</v>
      </c>
      <c r="L36" s="20">
        <v>128.87084195534399</v>
      </c>
      <c r="M36" s="20">
        <v>3</v>
      </c>
      <c r="N36" s="20">
        <v>19</v>
      </c>
      <c r="O36" s="20">
        <v>8</v>
      </c>
      <c r="P36" s="20">
        <v>2</v>
      </c>
      <c r="Q36" s="20">
        <v>2.125</v>
      </c>
      <c r="R36">
        <v>38</v>
      </c>
      <c r="S36">
        <v>17</v>
      </c>
      <c r="T36">
        <v>138.341340960628</v>
      </c>
      <c r="U36">
        <v>38</v>
      </c>
      <c r="V36">
        <v>17</v>
      </c>
      <c r="W36">
        <v>138.341340960628</v>
      </c>
      <c r="X36">
        <v>119.367687118879</v>
      </c>
      <c r="Y36" s="20" t="s">
        <v>57</v>
      </c>
      <c r="Z36">
        <v>212.5</v>
      </c>
      <c r="AA36">
        <v>76.5</v>
      </c>
      <c r="AB36">
        <v>289</v>
      </c>
      <c r="AC36">
        <v>7.2953859562054699</v>
      </c>
      <c r="AD36">
        <v>3.1825942641184999</v>
      </c>
      <c r="AE36">
        <v>9.0625</v>
      </c>
      <c r="AF36">
        <v>6.9379967889211001</v>
      </c>
      <c r="AG36">
        <v>8.5186330477901606</v>
      </c>
      <c r="AH36">
        <v>13.615856446858</v>
      </c>
      <c r="AI36">
        <v>16.999990414585</v>
      </c>
      <c r="AJ36">
        <v>3.3421676354176402</v>
      </c>
      <c r="AK36">
        <v>3.78936746408377</v>
      </c>
      <c r="AL36" s="20">
        <v>12.5946624194537</v>
      </c>
      <c r="AM36" s="20">
        <v>12.6463856884092</v>
      </c>
      <c r="AN36" s="20" t="s">
        <v>58</v>
      </c>
    </row>
    <row r="37" spans="1:40" x14ac:dyDescent="0.25">
      <c r="A37" s="20">
        <v>35</v>
      </c>
      <c r="B37" s="20" t="s">
        <v>99</v>
      </c>
      <c r="C37" s="20" t="s">
        <v>56</v>
      </c>
      <c r="D37">
        <v>0</v>
      </c>
      <c r="E37" s="20" t="str">
        <f t="shared" si="0"/>
        <v>WALD</v>
      </c>
      <c r="F37" s="20">
        <v>37.040999999999997</v>
      </c>
      <c r="G37" s="20">
        <v>-121.883</v>
      </c>
      <c r="H37" s="20">
        <v>17.600000000000001</v>
      </c>
      <c r="I37" s="20">
        <v>6.94</v>
      </c>
      <c r="J37" s="20">
        <v>128</v>
      </c>
      <c r="K37" s="20">
        <v>70</v>
      </c>
      <c r="L37" s="20">
        <v>143.829556989065</v>
      </c>
      <c r="M37" s="20">
        <v>1.5</v>
      </c>
      <c r="N37" s="20">
        <v>12</v>
      </c>
      <c r="O37" s="20">
        <v>8</v>
      </c>
      <c r="P37" s="20">
        <v>3.3333333333333299</v>
      </c>
      <c r="Q37" s="20">
        <v>2.5</v>
      </c>
      <c r="R37">
        <v>40</v>
      </c>
      <c r="S37">
        <v>20</v>
      </c>
      <c r="T37">
        <v>108.519752084731</v>
      </c>
      <c r="U37">
        <v>40</v>
      </c>
      <c r="V37">
        <v>17.5</v>
      </c>
      <c r="W37">
        <v>124.02257381112101</v>
      </c>
      <c r="X37">
        <v>105.69054951410899</v>
      </c>
      <c r="Y37" s="20" t="s">
        <v>57</v>
      </c>
      <c r="Z37" s="28">
        <v>183.333333333333</v>
      </c>
      <c r="AA37">
        <v>25</v>
      </c>
      <c r="AB37">
        <v>208.333333333333</v>
      </c>
      <c r="AC37">
        <v>8.2148916270663292</v>
      </c>
      <c r="AD37">
        <v>0.19999999999999901</v>
      </c>
      <c r="AE37">
        <v>5.8438952002163003</v>
      </c>
      <c r="AF37">
        <v>11.184940278764</v>
      </c>
      <c r="AG37">
        <v>6.6079171808253498</v>
      </c>
      <c r="AH37">
        <v>16.915652256880001</v>
      </c>
      <c r="AI37">
        <v>9.4738001755728103</v>
      </c>
      <c r="AJ37">
        <v>5.70399692507808</v>
      </c>
      <c r="AK37">
        <v>4.0234073131640002</v>
      </c>
      <c r="AL37" s="20">
        <v>9.5084677445948191</v>
      </c>
      <c r="AM37" s="20">
        <v>3.3603374265094299</v>
      </c>
      <c r="AN37" s="20" t="s">
        <v>58</v>
      </c>
    </row>
    <row r="38" spans="1:40" x14ac:dyDescent="0.25">
      <c r="A38" s="20">
        <v>36</v>
      </c>
      <c r="B38" s="20" t="s">
        <v>100</v>
      </c>
      <c r="C38" s="20" t="s">
        <v>56</v>
      </c>
      <c r="D38">
        <v>0</v>
      </c>
      <c r="E38" s="20" t="str">
        <f t="shared" si="0"/>
        <v>ZENG</v>
      </c>
      <c r="F38" s="20">
        <v>37.040999999999997</v>
      </c>
      <c r="G38" s="20">
        <v>-121.883</v>
      </c>
      <c r="H38" s="20">
        <v>17.600000000000001</v>
      </c>
      <c r="I38" s="20">
        <v>6.98</v>
      </c>
      <c r="J38" s="20">
        <v>128</v>
      </c>
      <c r="K38" s="20">
        <v>70</v>
      </c>
      <c r="L38" s="20">
        <v>126.896863484739</v>
      </c>
      <c r="M38" s="20">
        <v>5</v>
      </c>
      <c r="N38" s="20">
        <v>80</v>
      </c>
      <c r="O38" s="20">
        <v>28</v>
      </c>
      <c r="P38" s="20">
        <v>0.5</v>
      </c>
      <c r="Q38" s="20">
        <v>0.5</v>
      </c>
      <c r="R38">
        <v>40</v>
      </c>
      <c r="S38">
        <v>14</v>
      </c>
      <c r="T38">
        <v>180.373294462643</v>
      </c>
      <c r="U38">
        <v>32</v>
      </c>
      <c r="V38">
        <v>13</v>
      </c>
      <c r="W38">
        <v>242.81020408432701</v>
      </c>
      <c r="X38">
        <v>184.218679520785</v>
      </c>
      <c r="Y38" s="20" t="s">
        <v>76</v>
      </c>
      <c r="Z38" s="28">
        <v>82.5</v>
      </c>
      <c r="AA38">
        <v>21.25</v>
      </c>
      <c r="AB38">
        <v>103.75</v>
      </c>
      <c r="AC38">
        <v>14.0089257261219</v>
      </c>
      <c r="AD38">
        <v>0</v>
      </c>
      <c r="AE38">
        <v>2.6925824035672501</v>
      </c>
      <c r="AF38">
        <v>19.075649620225299</v>
      </c>
      <c r="AG38">
        <v>13.9999889925788</v>
      </c>
      <c r="AH38">
        <v>6.5747364913957798</v>
      </c>
      <c r="AI38">
        <v>5.6085704321831802</v>
      </c>
      <c r="AJ38">
        <v>1.2381195100242499</v>
      </c>
      <c r="AK38">
        <v>1.2215609679699899</v>
      </c>
      <c r="AL38" s="20">
        <v>5.8470398271262001</v>
      </c>
      <c r="AM38" s="20">
        <v>4.62165878879002</v>
      </c>
      <c r="AN38" s="20" t="s">
        <v>58</v>
      </c>
    </row>
    <row r="39" spans="1:40" x14ac:dyDescent="0.25">
      <c r="A39" s="20">
        <v>37</v>
      </c>
      <c r="B39" s="20" t="s">
        <v>101</v>
      </c>
      <c r="C39" s="20" t="s">
        <v>80</v>
      </c>
      <c r="D39">
        <v>1</v>
      </c>
      <c r="E39" s="20" t="str">
        <f t="shared" si="0"/>
        <v>HAYE</v>
      </c>
      <c r="F39" s="20">
        <v>15.23</v>
      </c>
      <c r="G39" s="20">
        <v>147.53</v>
      </c>
      <c r="H39" s="20">
        <v>11</v>
      </c>
      <c r="I39" s="20">
        <v>7.37</v>
      </c>
      <c r="J39" s="20">
        <v>26</v>
      </c>
      <c r="K39" s="20">
        <v>61</v>
      </c>
      <c r="L39" s="20">
        <v>-72.123697329060604</v>
      </c>
      <c r="M39" s="20">
        <v>0.28000000000000003</v>
      </c>
      <c r="N39" s="20">
        <v>15</v>
      </c>
      <c r="O39" s="20">
        <v>10</v>
      </c>
      <c r="P39" s="20">
        <v>5</v>
      </c>
      <c r="Q39" s="20">
        <v>3.5</v>
      </c>
      <c r="R39">
        <v>75</v>
      </c>
      <c r="S39">
        <v>35</v>
      </c>
      <c r="T39">
        <v>155.86240000000001</v>
      </c>
      <c r="U39">
        <v>65</v>
      </c>
      <c r="V39">
        <v>28</v>
      </c>
      <c r="W39">
        <v>224.801538461538</v>
      </c>
      <c r="X39">
        <v>172.60106185681499</v>
      </c>
      <c r="Y39" s="20" t="s">
        <v>102</v>
      </c>
      <c r="Z39" s="28">
        <v>525</v>
      </c>
      <c r="AA39">
        <v>192.5</v>
      </c>
      <c r="AB39">
        <v>717.5</v>
      </c>
      <c r="AC39">
        <v>21.361472327533999</v>
      </c>
      <c r="AD39">
        <v>3.05163890393343</v>
      </c>
      <c r="AE39">
        <v>3.05163890393343</v>
      </c>
      <c r="AF39">
        <v>38.5699204491873</v>
      </c>
      <c r="AG39">
        <v>17.272382373800301</v>
      </c>
      <c r="AH39">
        <v>12.9610227198364</v>
      </c>
      <c r="AI39">
        <v>7.0668132666259798</v>
      </c>
      <c r="AJ39">
        <v>10.277880865836201</v>
      </c>
      <c r="AK39">
        <v>6.6840443782993599</v>
      </c>
      <c r="AL39" s="20">
        <v>4.7530153218772604</v>
      </c>
      <c r="AM39" s="20">
        <v>1.45772037099026</v>
      </c>
      <c r="AN39" s="20" t="s">
        <v>58</v>
      </c>
    </row>
    <row r="40" spans="1:40" x14ac:dyDescent="0.25">
      <c r="A40" s="20">
        <v>38</v>
      </c>
      <c r="B40" s="20" t="s">
        <v>103</v>
      </c>
      <c r="C40" s="20" t="s">
        <v>63</v>
      </c>
      <c r="D40">
        <v>0</v>
      </c>
      <c r="E40" s="20" t="str">
        <f t="shared" si="0"/>
        <v>BENN</v>
      </c>
      <c r="F40" s="20">
        <v>33.966000000000001</v>
      </c>
      <c r="G40" s="20">
        <v>-116.31699999999999</v>
      </c>
      <c r="H40" s="20">
        <v>12.5</v>
      </c>
      <c r="I40" s="20">
        <v>6.25</v>
      </c>
      <c r="J40" s="20">
        <v>72</v>
      </c>
      <c r="K40" s="20">
        <v>90</v>
      </c>
      <c r="L40" s="20">
        <v>0</v>
      </c>
      <c r="M40" s="20">
        <v>0.01</v>
      </c>
      <c r="N40" s="20">
        <v>35</v>
      </c>
      <c r="O40" s="20">
        <v>20</v>
      </c>
      <c r="P40" s="20">
        <v>1</v>
      </c>
      <c r="Q40" s="20">
        <v>1</v>
      </c>
      <c r="R40">
        <v>35</v>
      </c>
      <c r="S40">
        <v>20</v>
      </c>
      <c r="T40">
        <v>11.4811</v>
      </c>
      <c r="U40">
        <v>15</v>
      </c>
      <c r="V40">
        <v>16</v>
      </c>
      <c r="W40">
        <v>33.486541666666703</v>
      </c>
      <c r="X40">
        <v>24.395932889183001</v>
      </c>
      <c r="Y40" s="20" t="s">
        <v>92</v>
      </c>
      <c r="Z40">
        <v>70</v>
      </c>
      <c r="AA40">
        <v>45</v>
      </c>
      <c r="AB40">
        <v>115</v>
      </c>
      <c r="AC40">
        <v>3.16227766016838</v>
      </c>
      <c r="AD40">
        <v>0</v>
      </c>
      <c r="AE40">
        <v>0</v>
      </c>
      <c r="AF40">
        <v>30.001572469879999</v>
      </c>
      <c r="AG40">
        <v>19.8787104378188</v>
      </c>
      <c r="AH40">
        <v>5.37135841664875</v>
      </c>
      <c r="AI40">
        <v>4.6310686453705303</v>
      </c>
      <c r="AJ40">
        <v>2.4352832662219202</v>
      </c>
      <c r="AK40">
        <v>2.3726598493907498</v>
      </c>
      <c r="AL40" s="20">
        <v>4.6622807980644003</v>
      </c>
      <c r="AM40" s="20">
        <v>4.4222994211156701</v>
      </c>
      <c r="AN40" s="20" t="s">
        <v>58</v>
      </c>
    </row>
    <row r="41" spans="1:40" x14ac:dyDescent="0.25">
      <c r="A41" s="20">
        <v>39</v>
      </c>
      <c r="B41" s="20" t="s">
        <v>104</v>
      </c>
      <c r="C41" s="20" t="s">
        <v>63</v>
      </c>
      <c r="D41">
        <v>0</v>
      </c>
      <c r="E41" s="20" t="str">
        <f t="shared" si="0"/>
        <v>HOUG</v>
      </c>
      <c r="F41" s="20">
        <v>33.966000000000001</v>
      </c>
      <c r="G41" s="20">
        <v>-116.31699999999999</v>
      </c>
      <c r="H41" s="20">
        <v>12.5</v>
      </c>
      <c r="I41" s="20">
        <v>6.15</v>
      </c>
      <c r="J41" s="20">
        <v>70</v>
      </c>
      <c r="K41" s="20">
        <v>90</v>
      </c>
      <c r="L41" s="20">
        <v>0</v>
      </c>
      <c r="M41" s="20">
        <v>0.01</v>
      </c>
      <c r="N41" s="20">
        <v>22</v>
      </c>
      <c r="O41" s="20">
        <v>20</v>
      </c>
      <c r="P41" s="20">
        <v>1</v>
      </c>
      <c r="Q41" s="20">
        <v>1</v>
      </c>
      <c r="R41">
        <v>22</v>
      </c>
      <c r="S41">
        <v>20</v>
      </c>
      <c r="T41">
        <v>12.4266636545455</v>
      </c>
      <c r="U41">
        <v>10</v>
      </c>
      <c r="V41">
        <v>12</v>
      </c>
      <c r="W41">
        <v>45.564433399999999</v>
      </c>
      <c r="X41">
        <v>55.461062264451797</v>
      </c>
      <c r="Y41" s="20" t="s">
        <v>76</v>
      </c>
      <c r="Z41">
        <v>23</v>
      </c>
      <c r="AA41">
        <v>6</v>
      </c>
      <c r="AB41">
        <v>29</v>
      </c>
      <c r="AC41">
        <v>6.3639610306789303</v>
      </c>
      <c r="AD41">
        <v>1.58113883008419</v>
      </c>
      <c r="AE41">
        <v>5.7008771254956896</v>
      </c>
      <c r="AF41">
        <v>4.8023885754669102</v>
      </c>
      <c r="AG41">
        <v>6.0398615408424803</v>
      </c>
      <c r="AH41">
        <v>1.79661703472598</v>
      </c>
      <c r="AI41">
        <v>2.0662263521505699</v>
      </c>
      <c r="AJ41">
        <v>1.9376729615608399</v>
      </c>
      <c r="AK41">
        <v>1.9700563798212101</v>
      </c>
      <c r="AL41" s="20">
        <v>6.8832669547243297</v>
      </c>
      <c r="AM41" s="20">
        <v>5.0820972294909899</v>
      </c>
      <c r="AN41" s="20" t="s">
        <v>58</v>
      </c>
    </row>
    <row r="42" spans="1:40" x14ac:dyDescent="0.25">
      <c r="A42" s="20">
        <v>40</v>
      </c>
      <c r="B42" s="20" t="s">
        <v>105</v>
      </c>
      <c r="C42" s="20" t="s">
        <v>63</v>
      </c>
      <c r="D42">
        <v>0</v>
      </c>
      <c r="E42" s="20" t="str">
        <f t="shared" si="0"/>
        <v>COHE</v>
      </c>
      <c r="F42" s="20">
        <v>34.200000000000003</v>
      </c>
      <c r="G42" s="20">
        <v>-116.43</v>
      </c>
      <c r="H42" s="20">
        <v>5</v>
      </c>
      <c r="I42" s="20">
        <v>7.08</v>
      </c>
      <c r="J42" s="20">
        <v>330</v>
      </c>
      <c r="K42" s="20">
        <v>90</v>
      </c>
      <c r="L42" s="20">
        <v>180</v>
      </c>
      <c r="M42" s="20">
        <v>0</v>
      </c>
      <c r="N42" s="20">
        <v>28</v>
      </c>
      <c r="O42" s="20">
        <v>6</v>
      </c>
      <c r="P42" s="20">
        <v>2.96428571428571</v>
      </c>
      <c r="Q42" s="20">
        <v>3</v>
      </c>
      <c r="R42">
        <v>83</v>
      </c>
      <c r="S42">
        <v>18</v>
      </c>
      <c r="T42">
        <v>131.51190476190499</v>
      </c>
      <c r="U42">
        <v>59.285714285714299</v>
      </c>
      <c r="V42">
        <v>18</v>
      </c>
      <c r="W42">
        <v>184.11666666666699</v>
      </c>
      <c r="X42">
        <v>166.67822064019899</v>
      </c>
      <c r="Y42" s="20" t="s">
        <v>57</v>
      </c>
      <c r="Z42">
        <v>257.892857142857</v>
      </c>
      <c r="AA42">
        <v>142.28571428571399</v>
      </c>
      <c r="AB42">
        <v>400.17857142857099</v>
      </c>
      <c r="AC42">
        <v>31.554698217410301</v>
      </c>
      <c r="AD42">
        <v>4.6341952166608698</v>
      </c>
      <c r="AE42">
        <v>25.615385204670901</v>
      </c>
      <c r="AF42">
        <v>13.9970148214597</v>
      </c>
      <c r="AG42">
        <v>17.1422023787892</v>
      </c>
      <c r="AH42">
        <v>6.3692950775236303</v>
      </c>
      <c r="AI42">
        <v>7.3043143520903904</v>
      </c>
      <c r="AJ42">
        <v>5.5850810667484803</v>
      </c>
      <c r="AK42">
        <v>5.8674118189590398</v>
      </c>
      <c r="AL42" s="20">
        <v>33.022143315066899</v>
      </c>
      <c r="AM42" s="20">
        <v>31.748203302134598</v>
      </c>
      <c r="AN42" s="20" t="s">
        <v>58</v>
      </c>
    </row>
    <row r="43" spans="1:40" x14ac:dyDescent="0.25">
      <c r="A43" s="20">
        <v>41</v>
      </c>
      <c r="B43" s="20" t="s">
        <v>106</v>
      </c>
      <c r="C43" s="20" t="s">
        <v>63</v>
      </c>
      <c r="D43">
        <v>0</v>
      </c>
      <c r="E43" s="20" t="str">
        <f t="shared" si="0"/>
        <v>WALD</v>
      </c>
      <c r="F43" s="20">
        <v>34.200000000000003</v>
      </c>
      <c r="G43" s="20">
        <v>-116.43</v>
      </c>
      <c r="H43" s="20">
        <v>7</v>
      </c>
      <c r="I43" s="20">
        <v>7.28</v>
      </c>
      <c r="J43" s="20">
        <v>330</v>
      </c>
      <c r="K43" s="20">
        <v>89</v>
      </c>
      <c r="L43" s="20">
        <v>180</v>
      </c>
      <c r="M43" s="20">
        <v>0</v>
      </c>
      <c r="N43" s="20">
        <v>26</v>
      </c>
      <c r="O43" s="20">
        <v>6</v>
      </c>
      <c r="P43" s="20">
        <v>3</v>
      </c>
      <c r="Q43" s="20">
        <v>2.5</v>
      </c>
      <c r="R43">
        <v>78</v>
      </c>
      <c r="S43">
        <v>15</v>
      </c>
      <c r="T43">
        <v>239.91025641025601</v>
      </c>
      <c r="U43">
        <v>75</v>
      </c>
      <c r="V43">
        <v>15</v>
      </c>
      <c r="W43">
        <v>249.506666666667</v>
      </c>
      <c r="X43">
        <v>205.51414183059799</v>
      </c>
      <c r="Y43" s="20" t="s">
        <v>57</v>
      </c>
      <c r="Z43" s="28">
        <v>315</v>
      </c>
      <c r="AA43">
        <v>135</v>
      </c>
      <c r="AB43">
        <v>450</v>
      </c>
      <c r="AC43">
        <v>28.0178514522438</v>
      </c>
      <c r="AD43">
        <v>1.1180339887499</v>
      </c>
      <c r="AE43">
        <v>2.2360679774997898</v>
      </c>
      <c r="AF43">
        <v>12.882111132132801</v>
      </c>
      <c r="AG43">
        <v>9.6017994318103295</v>
      </c>
      <c r="AH43">
        <v>22.324337669363199</v>
      </c>
      <c r="AI43">
        <v>14.999991069548599</v>
      </c>
      <c r="AJ43">
        <v>5.3802567412470603</v>
      </c>
      <c r="AK43">
        <v>4.3755657300556896</v>
      </c>
      <c r="AL43" s="20">
        <v>33.852766215037697</v>
      </c>
      <c r="AM43" s="20">
        <v>31.270941289478301</v>
      </c>
      <c r="AN43" s="20" t="s">
        <v>58</v>
      </c>
    </row>
    <row r="44" spans="1:40" x14ac:dyDescent="0.25">
      <c r="A44" s="20">
        <v>42</v>
      </c>
      <c r="B44" s="20" t="s">
        <v>107</v>
      </c>
      <c r="C44" s="20" t="s">
        <v>63</v>
      </c>
      <c r="D44">
        <v>0</v>
      </c>
      <c r="E44" s="20" t="str">
        <f t="shared" si="0"/>
        <v>ZENG</v>
      </c>
      <c r="F44" s="20">
        <v>34.200000000000003</v>
      </c>
      <c r="G44" s="20">
        <v>-116.43</v>
      </c>
      <c r="H44" s="20">
        <v>7</v>
      </c>
      <c r="I44" s="20">
        <v>7.2</v>
      </c>
      <c r="J44" s="20">
        <v>330</v>
      </c>
      <c r="K44" s="20">
        <v>90</v>
      </c>
      <c r="L44" s="20">
        <v>157.181385642424</v>
      </c>
      <c r="M44" s="20">
        <v>0.01</v>
      </c>
      <c r="N44" s="20">
        <v>154</v>
      </c>
      <c r="O44" s="20">
        <v>30</v>
      </c>
      <c r="P44" s="20">
        <v>0.5</v>
      </c>
      <c r="Q44" s="20">
        <v>0.5</v>
      </c>
      <c r="R44">
        <v>77</v>
      </c>
      <c r="S44">
        <v>15</v>
      </c>
      <c r="T44">
        <v>188.77905064935101</v>
      </c>
      <c r="U44">
        <v>67</v>
      </c>
      <c r="V44">
        <v>14.5</v>
      </c>
      <c r="W44">
        <v>224.43623623262999</v>
      </c>
      <c r="X44">
        <v>164.60094006445601</v>
      </c>
      <c r="Y44" s="20" t="s">
        <v>76</v>
      </c>
      <c r="Z44">
        <v>343.75</v>
      </c>
      <c r="AA44">
        <v>88.5</v>
      </c>
      <c r="AB44">
        <v>432.25</v>
      </c>
      <c r="AC44">
        <v>1.8027756377319899</v>
      </c>
      <c r="AD44">
        <v>0</v>
      </c>
      <c r="AE44">
        <v>1.1180339887499</v>
      </c>
      <c r="AF44">
        <v>27.390242491018299</v>
      </c>
      <c r="AG44">
        <v>14.999999108511901</v>
      </c>
      <c r="AH44">
        <v>8.9013797819191893</v>
      </c>
      <c r="AI44">
        <v>7.9414430732892498</v>
      </c>
      <c r="AJ44">
        <v>1.27404016352145</v>
      </c>
      <c r="AK44">
        <v>1.25610039712993</v>
      </c>
      <c r="AL44" s="20">
        <v>5.3265827779168102</v>
      </c>
      <c r="AM44" s="20">
        <v>47.888383909775001</v>
      </c>
      <c r="AN44" s="20" t="s">
        <v>58</v>
      </c>
    </row>
    <row r="45" spans="1:40" x14ac:dyDescent="0.25">
      <c r="A45" s="20">
        <v>43</v>
      </c>
      <c r="B45" s="20" t="s">
        <v>108</v>
      </c>
      <c r="C45" s="20" t="s">
        <v>61</v>
      </c>
      <c r="D45">
        <v>1</v>
      </c>
      <c r="E45" s="20" t="str">
        <f t="shared" si="0"/>
        <v>MEND</v>
      </c>
      <c r="F45" s="20">
        <v>42.78</v>
      </c>
      <c r="G45" s="20">
        <v>139.18299999999999</v>
      </c>
      <c r="H45" s="20">
        <v>20</v>
      </c>
      <c r="I45" s="20">
        <v>7.6</v>
      </c>
      <c r="J45" s="20">
        <v>180</v>
      </c>
      <c r="K45" s="20">
        <v>30</v>
      </c>
      <c r="L45" s="20">
        <v>95</v>
      </c>
      <c r="M45" s="20">
        <v>0</v>
      </c>
      <c r="N45" s="20">
        <v>20</v>
      </c>
      <c r="O45" s="20">
        <v>7</v>
      </c>
      <c r="P45" s="20">
        <v>10</v>
      </c>
      <c r="Q45" s="20">
        <v>10</v>
      </c>
      <c r="R45">
        <v>200</v>
      </c>
      <c r="S45">
        <v>70</v>
      </c>
      <c r="T45">
        <v>61.6357142857143</v>
      </c>
      <c r="U45">
        <v>170</v>
      </c>
      <c r="V45">
        <v>70</v>
      </c>
      <c r="W45">
        <v>72.512605042016801</v>
      </c>
      <c r="X45">
        <v>77.777363204997698</v>
      </c>
      <c r="Y45" s="20" t="s">
        <v>69</v>
      </c>
      <c r="Z45">
        <v>1000</v>
      </c>
      <c r="AA45">
        <v>200</v>
      </c>
      <c r="AB45">
        <v>1200</v>
      </c>
      <c r="AC45">
        <v>169.70562748477099</v>
      </c>
      <c r="AD45">
        <v>0</v>
      </c>
      <c r="AE45">
        <v>0</v>
      </c>
      <c r="AF45">
        <v>29.620106945056801</v>
      </c>
      <c r="AG45">
        <v>22.752781273076501</v>
      </c>
      <c r="AH45">
        <v>64.898907843740901</v>
      </c>
      <c r="AI45">
        <v>45.195048355699797</v>
      </c>
      <c r="AJ45">
        <v>17.245941225436798</v>
      </c>
      <c r="AK45">
        <v>14.8569021700911</v>
      </c>
      <c r="AL45" s="20">
        <v>5.3683347287589998</v>
      </c>
      <c r="AM45" s="20">
        <v>5.4581167860352702</v>
      </c>
      <c r="AN45" s="20" t="s">
        <v>58</v>
      </c>
    </row>
    <row r="46" spans="1:40" x14ac:dyDescent="0.25">
      <c r="A46" s="20">
        <v>44</v>
      </c>
      <c r="B46" s="20" t="s">
        <v>109</v>
      </c>
      <c r="C46" s="20" t="s">
        <v>56</v>
      </c>
      <c r="D46">
        <v>0</v>
      </c>
      <c r="E46" s="20" t="str">
        <f t="shared" si="0"/>
        <v>WANG</v>
      </c>
      <c r="F46" s="20">
        <v>29.0463718181818</v>
      </c>
      <c r="G46" s="20">
        <v>87.490514545454602</v>
      </c>
      <c r="H46" s="20">
        <v>8.25</v>
      </c>
      <c r="I46" s="20">
        <v>6.29</v>
      </c>
      <c r="J46" s="20">
        <v>3.5</v>
      </c>
      <c r="K46" s="20">
        <v>43.400000000000503</v>
      </c>
      <c r="L46" s="20">
        <v>-45.767995483774101</v>
      </c>
      <c r="M46" s="20">
        <v>0</v>
      </c>
      <c r="N46" s="20">
        <v>30</v>
      </c>
      <c r="O46" s="20">
        <v>22</v>
      </c>
      <c r="P46" s="20">
        <v>1</v>
      </c>
      <c r="Q46" s="20">
        <v>1</v>
      </c>
      <c r="R46">
        <v>30</v>
      </c>
      <c r="S46">
        <v>22</v>
      </c>
      <c r="T46">
        <v>13.918179888358299</v>
      </c>
      <c r="U46">
        <v>23</v>
      </c>
      <c r="V46">
        <v>19</v>
      </c>
      <c r="W46">
        <v>21.0205920510674</v>
      </c>
      <c r="X46">
        <v>14.617223651578</v>
      </c>
      <c r="Y46" s="20" t="s">
        <v>110</v>
      </c>
      <c r="Z46" s="28">
        <v>120</v>
      </c>
      <c r="AA46">
        <v>80</v>
      </c>
      <c r="AB46">
        <v>200</v>
      </c>
      <c r="AC46">
        <v>3.9051248379533301</v>
      </c>
      <c r="AD46">
        <v>3.0413812651491101</v>
      </c>
      <c r="AE46">
        <v>0.5</v>
      </c>
      <c r="AF46">
        <v>29.258882825896102</v>
      </c>
      <c r="AG46">
        <v>21.999989415675099</v>
      </c>
      <c r="AH46">
        <v>5.3267807599682202</v>
      </c>
      <c r="AI46">
        <v>4.8637630240298098</v>
      </c>
      <c r="AJ46">
        <v>2.44581691200105</v>
      </c>
      <c r="AK46">
        <v>2.4119181713960498</v>
      </c>
      <c r="AL46" s="20">
        <v>1.43249210818071</v>
      </c>
      <c r="AM46" s="20">
        <v>2.1880786023358501</v>
      </c>
      <c r="AN46" s="20" t="s">
        <v>58</v>
      </c>
    </row>
    <row r="47" spans="1:40" x14ac:dyDescent="0.25">
      <c r="A47" s="20">
        <v>45</v>
      </c>
      <c r="B47" s="20" t="s">
        <v>111</v>
      </c>
      <c r="C47" s="20" t="s">
        <v>63</v>
      </c>
      <c r="D47">
        <v>0</v>
      </c>
      <c r="E47" s="20" t="str">
        <f t="shared" si="0"/>
        <v>MAxx</v>
      </c>
      <c r="F47" s="20">
        <v>24.468</v>
      </c>
      <c r="G47" s="20">
        <v>121.78700000000001</v>
      </c>
      <c r="H47" s="20">
        <v>5.13</v>
      </c>
      <c r="I47" s="20">
        <v>6.28</v>
      </c>
      <c r="J47" s="20">
        <v>87</v>
      </c>
      <c r="K47" s="20">
        <v>81</v>
      </c>
      <c r="L47" s="20">
        <v>8</v>
      </c>
      <c r="M47" s="20">
        <v>1.179</v>
      </c>
      <c r="N47" s="20">
        <v>26</v>
      </c>
      <c r="O47" s="20">
        <v>16</v>
      </c>
      <c r="P47" s="20">
        <v>1</v>
      </c>
      <c r="Q47" s="20">
        <v>1</v>
      </c>
      <c r="R47">
        <v>26</v>
      </c>
      <c r="S47">
        <v>16</v>
      </c>
      <c r="T47">
        <v>26.589903846153899</v>
      </c>
      <c r="U47">
        <v>10</v>
      </c>
      <c r="V47">
        <v>11</v>
      </c>
      <c r="W47">
        <v>100.55818181818201</v>
      </c>
      <c r="X47">
        <v>158.97764340005801</v>
      </c>
      <c r="Y47" s="20" t="s">
        <v>57</v>
      </c>
      <c r="Z47">
        <v>17</v>
      </c>
      <c r="AA47">
        <v>5</v>
      </c>
      <c r="AB47">
        <v>22</v>
      </c>
      <c r="AC47">
        <v>5.6568542494923797</v>
      </c>
      <c r="AD47">
        <v>1.4142135623731</v>
      </c>
      <c r="AE47">
        <v>2.2360679774997898</v>
      </c>
      <c r="AF47">
        <v>2.2339977897611099</v>
      </c>
      <c r="AG47">
        <v>1.6476636232820401</v>
      </c>
      <c r="AH47">
        <v>5.2208128480075899</v>
      </c>
      <c r="AI47">
        <v>3.4227328271045598</v>
      </c>
      <c r="AJ47">
        <v>1.53845487620876</v>
      </c>
      <c r="AK47">
        <v>1.3624574898856701</v>
      </c>
      <c r="AL47" s="20">
        <v>3.5223880819693898</v>
      </c>
      <c r="AM47" s="20">
        <v>3.6517690959314502</v>
      </c>
      <c r="AN47" s="20" t="s">
        <v>58</v>
      </c>
    </row>
    <row r="48" spans="1:40" x14ac:dyDescent="0.25">
      <c r="A48" s="20">
        <v>46</v>
      </c>
      <c r="B48" s="20" t="s">
        <v>112</v>
      </c>
      <c r="C48" s="20" t="s">
        <v>61</v>
      </c>
      <c r="D48">
        <v>0</v>
      </c>
      <c r="E48" s="20" t="str">
        <f t="shared" si="0"/>
        <v>DREG</v>
      </c>
      <c r="F48" s="20">
        <v>34.213000000000001</v>
      </c>
      <c r="G48" s="20">
        <v>-118.53700000000001</v>
      </c>
      <c r="H48" s="20">
        <v>17.5</v>
      </c>
      <c r="I48" s="20">
        <v>6.66</v>
      </c>
      <c r="J48" s="20">
        <v>109.6</v>
      </c>
      <c r="K48" s="20">
        <v>43</v>
      </c>
      <c r="L48" s="20">
        <v>105</v>
      </c>
      <c r="M48" s="20">
        <v>1.95</v>
      </c>
      <c r="N48" s="20">
        <v>23</v>
      </c>
      <c r="O48" s="20">
        <v>27</v>
      </c>
      <c r="P48" s="20">
        <v>1</v>
      </c>
      <c r="Q48" s="20">
        <v>1</v>
      </c>
      <c r="R48">
        <v>23</v>
      </c>
      <c r="S48">
        <v>27</v>
      </c>
      <c r="T48">
        <v>52.136241545893697</v>
      </c>
      <c r="U48">
        <v>17</v>
      </c>
      <c r="V48">
        <v>25</v>
      </c>
      <c r="W48">
        <v>76.180249411764706</v>
      </c>
      <c r="X48">
        <v>88.123296159388502</v>
      </c>
      <c r="Y48" s="20" t="s">
        <v>57</v>
      </c>
      <c r="Z48">
        <v>88</v>
      </c>
      <c r="AA48">
        <v>39</v>
      </c>
      <c r="AB48">
        <v>127</v>
      </c>
      <c r="AC48">
        <v>12.8549601321824</v>
      </c>
      <c r="AD48">
        <v>0.5</v>
      </c>
      <c r="AE48">
        <v>0.5</v>
      </c>
      <c r="AF48">
        <v>7.8562505101517397</v>
      </c>
      <c r="AG48">
        <v>8.7093396095456601</v>
      </c>
      <c r="AH48">
        <v>4.3601520336379203</v>
      </c>
      <c r="AI48">
        <v>4.7233981598739501</v>
      </c>
      <c r="AJ48">
        <v>2.0371971259194601</v>
      </c>
      <c r="AK48">
        <v>2.0424156557431501</v>
      </c>
      <c r="AL48" s="20">
        <v>10.336065948899501</v>
      </c>
      <c r="AM48" s="20">
        <v>11.0378994129318</v>
      </c>
      <c r="AN48" s="20" t="s">
        <v>58</v>
      </c>
    </row>
    <row r="49" spans="1:40" x14ac:dyDescent="0.25">
      <c r="A49" s="20">
        <v>47</v>
      </c>
      <c r="B49" s="20" t="s">
        <v>113</v>
      </c>
      <c r="C49" s="20" t="s">
        <v>61</v>
      </c>
      <c r="D49">
        <v>0</v>
      </c>
      <c r="E49" s="20" t="str">
        <f t="shared" si="0"/>
        <v>HART</v>
      </c>
      <c r="F49" s="20">
        <v>34.213000000000001</v>
      </c>
      <c r="G49" s="20">
        <v>-118.53700000000001</v>
      </c>
      <c r="H49" s="20">
        <v>17.5</v>
      </c>
      <c r="I49" s="20">
        <v>6.73</v>
      </c>
      <c r="J49" s="20">
        <v>122</v>
      </c>
      <c r="K49" s="20">
        <v>40</v>
      </c>
      <c r="L49" s="20">
        <v>101.680298209486</v>
      </c>
      <c r="M49" s="20">
        <v>5</v>
      </c>
      <c r="N49" s="20">
        <v>14</v>
      </c>
      <c r="O49" s="20">
        <v>14</v>
      </c>
      <c r="P49" s="20">
        <v>1.4285714285714299</v>
      </c>
      <c r="Q49" s="20">
        <v>1.77857142857143</v>
      </c>
      <c r="R49">
        <v>20</v>
      </c>
      <c r="S49">
        <v>24.9</v>
      </c>
      <c r="T49">
        <v>71.379798279208799</v>
      </c>
      <c r="U49">
        <v>20</v>
      </c>
      <c r="V49">
        <v>24.9</v>
      </c>
      <c r="W49">
        <v>71.379798279208799</v>
      </c>
      <c r="X49">
        <v>51.075737577040996</v>
      </c>
      <c r="Y49" s="20" t="s">
        <v>57</v>
      </c>
      <c r="Z49">
        <v>154.98979591836701</v>
      </c>
      <c r="AA49">
        <v>35.571428571428598</v>
      </c>
      <c r="AB49">
        <v>190.56122448979599</v>
      </c>
      <c r="AC49">
        <v>1.3729158601981699</v>
      </c>
      <c r="AD49">
        <v>0.52103703499533605</v>
      </c>
      <c r="AE49">
        <v>0.52103703499533605</v>
      </c>
      <c r="AF49">
        <v>7.8086241888431998</v>
      </c>
      <c r="AG49">
        <v>9.78780509796381</v>
      </c>
      <c r="AH49">
        <v>7.0521041478778201</v>
      </c>
      <c r="AI49">
        <v>8.8308307541178408</v>
      </c>
      <c r="AJ49">
        <v>2.75198895884487</v>
      </c>
      <c r="AK49">
        <v>3.3512808149849</v>
      </c>
      <c r="AL49" s="20">
        <v>1.76276637703355</v>
      </c>
      <c r="AM49" s="20">
        <v>8.2703073703460408</v>
      </c>
      <c r="AN49" s="20" t="s">
        <v>58</v>
      </c>
    </row>
    <row r="50" spans="1:40" x14ac:dyDescent="0.25">
      <c r="A50" s="20">
        <v>48</v>
      </c>
      <c r="B50" s="20" t="s">
        <v>114</v>
      </c>
      <c r="C50" s="20" t="s">
        <v>61</v>
      </c>
      <c r="D50">
        <v>0</v>
      </c>
      <c r="E50" s="20" t="str">
        <f t="shared" si="0"/>
        <v>HUDN</v>
      </c>
      <c r="F50" s="20">
        <v>34.213000000000001</v>
      </c>
      <c r="G50" s="20">
        <v>-118.53700000000001</v>
      </c>
      <c r="H50" s="20">
        <v>17.5</v>
      </c>
      <c r="I50" s="20">
        <v>6.81</v>
      </c>
      <c r="J50" s="20">
        <v>110</v>
      </c>
      <c r="K50" s="20">
        <v>41</v>
      </c>
      <c r="L50" s="20">
        <v>100</v>
      </c>
      <c r="M50" s="20">
        <v>1.5</v>
      </c>
      <c r="N50" s="20">
        <v>10</v>
      </c>
      <c r="O50" s="20">
        <v>13</v>
      </c>
      <c r="P50" s="20">
        <v>2</v>
      </c>
      <c r="Q50" s="20">
        <v>2</v>
      </c>
      <c r="R50">
        <v>20</v>
      </c>
      <c r="S50">
        <v>26</v>
      </c>
      <c r="T50">
        <v>104.313543653899</v>
      </c>
      <c r="U50">
        <v>20</v>
      </c>
      <c r="V50">
        <v>24</v>
      </c>
      <c r="W50">
        <v>113.006338958391</v>
      </c>
      <c r="X50">
        <v>67.093903907333598</v>
      </c>
      <c r="Y50" s="20" t="s">
        <v>92</v>
      </c>
      <c r="Z50" s="28">
        <v>160</v>
      </c>
      <c r="AA50">
        <v>68</v>
      </c>
      <c r="AB50">
        <v>228</v>
      </c>
      <c r="AC50">
        <v>13</v>
      </c>
      <c r="AD50">
        <v>1</v>
      </c>
      <c r="AE50">
        <v>5</v>
      </c>
      <c r="AF50">
        <v>10.8272350003986</v>
      </c>
      <c r="AG50">
        <v>18.6739578448875</v>
      </c>
      <c r="AH50">
        <v>7.8915698812268902</v>
      </c>
      <c r="AI50">
        <v>12.457395055354599</v>
      </c>
      <c r="AJ50">
        <v>3.81342124627704</v>
      </c>
      <c r="AK50">
        <v>4.1892013802591697</v>
      </c>
      <c r="AL50" s="20">
        <v>10.1724851658776</v>
      </c>
      <c r="AM50" s="20">
        <v>10.5458857517991</v>
      </c>
      <c r="AN50" s="20" t="s">
        <v>58</v>
      </c>
    </row>
    <row r="51" spans="1:40" x14ac:dyDescent="0.25">
      <c r="A51" s="20">
        <v>49</v>
      </c>
      <c r="B51" s="20" t="s">
        <v>115</v>
      </c>
      <c r="C51" s="20" t="s">
        <v>61</v>
      </c>
      <c r="D51">
        <v>0</v>
      </c>
      <c r="E51" s="20" t="str">
        <f t="shared" si="0"/>
        <v>SHEN</v>
      </c>
      <c r="F51" s="20">
        <v>34.213000000000001</v>
      </c>
      <c r="G51" s="20">
        <v>-118.53700000000001</v>
      </c>
      <c r="H51" s="20">
        <v>17.5</v>
      </c>
      <c r="I51" s="20">
        <v>6.84</v>
      </c>
      <c r="J51" s="20">
        <v>122</v>
      </c>
      <c r="K51" s="20">
        <v>48</v>
      </c>
      <c r="L51" s="20">
        <v>81.125857427479005</v>
      </c>
      <c r="M51" s="20">
        <v>2.5</v>
      </c>
      <c r="N51" s="20">
        <v>14</v>
      </c>
      <c r="O51" s="20">
        <v>14</v>
      </c>
      <c r="P51" s="20">
        <v>2.1428571428571401</v>
      </c>
      <c r="Q51" s="20">
        <v>2.1428571428571401</v>
      </c>
      <c r="R51">
        <v>30</v>
      </c>
      <c r="S51">
        <v>30</v>
      </c>
      <c r="T51">
        <v>64.169342510838803</v>
      </c>
      <c r="U51">
        <v>25.714285714285701</v>
      </c>
      <c r="V51">
        <v>27.8571428571429</v>
      </c>
      <c r="W51">
        <v>80.623020077720497</v>
      </c>
      <c r="X51">
        <v>64.213978876348307</v>
      </c>
      <c r="Y51" s="20" t="s">
        <v>92</v>
      </c>
      <c r="Z51">
        <v>156.12244897959201</v>
      </c>
      <c r="AA51">
        <v>114.795918367347</v>
      </c>
      <c r="AB51">
        <v>270.91836734693902</v>
      </c>
      <c r="AC51">
        <v>8.88048766816833</v>
      </c>
      <c r="AD51">
        <v>7.6930925816204004E-2</v>
      </c>
      <c r="AE51">
        <v>2.1726030658251001</v>
      </c>
      <c r="AF51">
        <v>20.953280062334699</v>
      </c>
      <c r="AG51">
        <v>20.322789797842901</v>
      </c>
      <c r="AH51">
        <v>6.7694858034577603</v>
      </c>
      <c r="AI51">
        <v>6.63456229011262</v>
      </c>
      <c r="AJ51">
        <v>4.5897446987323098</v>
      </c>
      <c r="AK51">
        <v>4.50108980192143</v>
      </c>
      <c r="AL51" s="20">
        <v>9.2343426416429804</v>
      </c>
      <c r="AM51" s="20">
        <v>9.1827723268929802</v>
      </c>
      <c r="AN51" s="20" t="s">
        <v>58</v>
      </c>
    </row>
    <row r="52" spans="1:40" x14ac:dyDescent="0.25">
      <c r="A52" s="20">
        <v>50</v>
      </c>
      <c r="B52" s="20" t="s">
        <v>116</v>
      </c>
      <c r="C52" s="20" t="s">
        <v>61</v>
      </c>
      <c r="D52">
        <v>0</v>
      </c>
      <c r="E52" s="20" t="str">
        <f t="shared" si="0"/>
        <v>WALD</v>
      </c>
      <c r="F52" s="20">
        <v>34.213000000000001</v>
      </c>
      <c r="G52" s="20">
        <v>-118.53700000000001</v>
      </c>
      <c r="H52" s="20">
        <v>17.5</v>
      </c>
      <c r="I52" s="20">
        <v>6.8</v>
      </c>
      <c r="J52" s="20">
        <v>122</v>
      </c>
      <c r="K52" s="20">
        <v>40</v>
      </c>
      <c r="L52" s="20">
        <v>102.159120539076</v>
      </c>
      <c r="M52" s="20">
        <v>5</v>
      </c>
      <c r="N52" s="20">
        <v>14</v>
      </c>
      <c r="O52" s="20">
        <v>14</v>
      </c>
      <c r="P52" s="20">
        <v>1.28571428571429</v>
      </c>
      <c r="Q52" s="20">
        <v>1.71428571428571</v>
      </c>
      <c r="R52">
        <v>18</v>
      </c>
      <c r="S52">
        <v>24</v>
      </c>
      <c r="T52">
        <v>103.422198366556</v>
      </c>
      <c r="U52">
        <v>18</v>
      </c>
      <c r="V52">
        <v>24</v>
      </c>
      <c r="W52">
        <v>103.422198366556</v>
      </c>
      <c r="X52">
        <v>69.571493051107396</v>
      </c>
      <c r="Y52" s="20" t="s">
        <v>57</v>
      </c>
      <c r="Z52">
        <v>156.48979591836701</v>
      </c>
      <c r="AA52">
        <v>39.673469387755098</v>
      </c>
      <c r="AB52">
        <v>196.16326530612201</v>
      </c>
      <c r="AC52">
        <v>14.285714285714301</v>
      </c>
      <c r="AD52">
        <v>0.71428571428571597</v>
      </c>
      <c r="AE52">
        <v>1.22057196361679</v>
      </c>
      <c r="AF52">
        <v>8.3120524983338395</v>
      </c>
      <c r="AG52">
        <v>10.513443348555899</v>
      </c>
      <c r="AH52">
        <v>7.5061850009731099</v>
      </c>
      <c r="AI52">
        <v>9.5203839632327192</v>
      </c>
      <c r="AJ52">
        <v>2.5168209684954101</v>
      </c>
      <c r="AK52">
        <v>3.33138178893021</v>
      </c>
      <c r="AL52" s="20">
        <v>12.3947543097877</v>
      </c>
      <c r="AM52" s="20">
        <v>10.8146899742896</v>
      </c>
      <c r="AN52" s="20" t="s">
        <v>58</v>
      </c>
    </row>
    <row r="53" spans="1:40" x14ac:dyDescent="0.25">
      <c r="A53" s="20">
        <v>51</v>
      </c>
      <c r="B53" s="20" t="s">
        <v>117</v>
      </c>
      <c r="C53" s="20" t="s">
        <v>61</v>
      </c>
      <c r="D53">
        <v>0</v>
      </c>
      <c r="E53" s="20" t="str">
        <f t="shared" si="0"/>
        <v>ZENG</v>
      </c>
      <c r="F53" s="20">
        <v>34.213000000000001</v>
      </c>
      <c r="G53" s="20">
        <v>-118.53700000000001</v>
      </c>
      <c r="H53" s="20">
        <v>17.5</v>
      </c>
      <c r="I53" s="20">
        <v>6.71</v>
      </c>
      <c r="J53" s="20">
        <v>122</v>
      </c>
      <c r="K53" s="20">
        <v>40</v>
      </c>
      <c r="L53" s="20">
        <v>97.581471519286197</v>
      </c>
      <c r="M53" s="20">
        <v>5</v>
      </c>
      <c r="N53" s="20">
        <v>36</v>
      </c>
      <c r="O53" s="20">
        <v>48</v>
      </c>
      <c r="P53" s="20">
        <v>0.5</v>
      </c>
      <c r="Q53" s="20">
        <v>0.5</v>
      </c>
      <c r="R53">
        <v>18</v>
      </c>
      <c r="S53">
        <v>24</v>
      </c>
      <c r="T53">
        <v>72.821900961278303</v>
      </c>
      <c r="U53">
        <v>15</v>
      </c>
      <c r="V53">
        <v>17.5</v>
      </c>
      <c r="W53">
        <v>119.844042724847</v>
      </c>
      <c r="X53">
        <v>83.826740924886593</v>
      </c>
      <c r="Y53" s="20" t="s">
        <v>76</v>
      </c>
      <c r="Z53">
        <v>82.25</v>
      </c>
      <c r="AA53">
        <v>6.25</v>
      </c>
      <c r="AB53">
        <v>88.5</v>
      </c>
      <c r="AC53">
        <v>10.903669107231799</v>
      </c>
      <c r="AD53">
        <v>0.19999999999999901</v>
      </c>
      <c r="AE53">
        <v>7.5690157880665101</v>
      </c>
      <c r="AF53">
        <v>9.5254642309722097</v>
      </c>
      <c r="AG53">
        <v>10.3961415637502</v>
      </c>
      <c r="AH53">
        <v>4.1546893825805</v>
      </c>
      <c r="AI53">
        <v>4.4282825731014999</v>
      </c>
      <c r="AJ53">
        <v>1.1526027574251601</v>
      </c>
      <c r="AK53">
        <v>1.16265086777396</v>
      </c>
      <c r="AL53" s="20">
        <v>10.3519582055764</v>
      </c>
      <c r="AM53" s="20">
        <v>10.1054761490986</v>
      </c>
      <c r="AN53" s="20" t="s">
        <v>58</v>
      </c>
    </row>
    <row r="54" spans="1:40" x14ac:dyDescent="0.25">
      <c r="A54" s="20">
        <v>52</v>
      </c>
      <c r="B54" s="20" t="s">
        <v>118</v>
      </c>
      <c r="C54" s="20" t="s">
        <v>61</v>
      </c>
      <c r="D54">
        <v>1</v>
      </c>
      <c r="E54" s="20" t="str">
        <f t="shared" si="0"/>
        <v>HAYE</v>
      </c>
      <c r="F54" s="20">
        <v>40.450000000000003</v>
      </c>
      <c r="G54" s="20">
        <v>143.49</v>
      </c>
      <c r="H54" s="20">
        <v>26</v>
      </c>
      <c r="I54" s="20">
        <v>7.72</v>
      </c>
      <c r="J54" s="20">
        <v>183</v>
      </c>
      <c r="K54" s="20">
        <v>15</v>
      </c>
      <c r="L54" s="20">
        <v>72.445361783561097</v>
      </c>
      <c r="M54" s="20">
        <v>8.6199999999999992</v>
      </c>
      <c r="N54" s="20">
        <v>14</v>
      </c>
      <c r="O54" s="20">
        <v>19</v>
      </c>
      <c r="P54" s="20">
        <v>15</v>
      </c>
      <c r="Q54" s="20">
        <v>7.9</v>
      </c>
      <c r="R54" s="25">
        <v>210</v>
      </c>
      <c r="S54" s="25">
        <v>150.1</v>
      </c>
      <c r="T54" s="25">
        <v>24.981541353383498</v>
      </c>
      <c r="U54" s="25">
        <v>135</v>
      </c>
      <c r="V54" s="25">
        <v>110.6</v>
      </c>
      <c r="W54" s="25">
        <v>52.7388095238095</v>
      </c>
      <c r="X54" s="25">
        <v>80.342838975681005</v>
      </c>
      <c r="Y54" s="20" t="s">
        <v>102</v>
      </c>
      <c r="Z54" s="29">
        <v>1777.5</v>
      </c>
      <c r="AA54" s="25">
        <v>948</v>
      </c>
      <c r="AB54" s="25">
        <v>2725.5</v>
      </c>
      <c r="AC54" s="25">
        <v>8.4765853974345102</v>
      </c>
      <c r="AD54" s="29">
        <v>8.4765853974345102</v>
      </c>
      <c r="AE54" s="25">
        <v>8.4765853974345102</v>
      </c>
      <c r="AF54" s="25">
        <v>55.669583161387301</v>
      </c>
      <c r="AG54" s="25">
        <v>26.009181002314701</v>
      </c>
      <c r="AH54" s="25">
        <v>31.011150609011899</v>
      </c>
      <c r="AI54" s="25">
        <v>14.7185671075028</v>
      </c>
      <c r="AJ54" s="25">
        <v>27.233026474105401</v>
      </c>
      <c r="AK54" s="25">
        <v>13.442730131646</v>
      </c>
      <c r="AL54" s="20">
        <v>7.6995530844328899</v>
      </c>
      <c r="AM54" s="20">
        <v>12.2882958102415</v>
      </c>
      <c r="AN54" s="20" t="s">
        <v>58</v>
      </c>
    </row>
    <row r="55" spans="1:40" x14ac:dyDescent="0.25">
      <c r="A55" s="20">
        <v>53</v>
      </c>
      <c r="B55" s="20" t="s">
        <v>119</v>
      </c>
      <c r="C55" s="20" t="s">
        <v>61</v>
      </c>
      <c r="D55">
        <v>1</v>
      </c>
      <c r="E55" s="20" t="str">
        <f t="shared" si="0"/>
        <v>NAGA</v>
      </c>
      <c r="F55" s="20">
        <v>40.43</v>
      </c>
      <c r="G55" s="20">
        <v>143.75</v>
      </c>
      <c r="H55" s="20">
        <v>10</v>
      </c>
      <c r="I55" s="20">
        <v>7.7</v>
      </c>
      <c r="J55" s="20">
        <v>184</v>
      </c>
      <c r="K55" s="20">
        <v>6</v>
      </c>
      <c r="L55" s="20">
        <v>90</v>
      </c>
      <c r="M55" s="20">
        <v>7.39</v>
      </c>
      <c r="N55" s="20">
        <v>11</v>
      </c>
      <c r="O55" s="20">
        <v>14</v>
      </c>
      <c r="P55" s="20">
        <v>10</v>
      </c>
      <c r="Q55" s="20">
        <v>10</v>
      </c>
      <c r="R55">
        <v>110</v>
      </c>
      <c r="S55">
        <v>140</v>
      </c>
      <c r="T55">
        <v>70.857142857142904</v>
      </c>
      <c r="U55">
        <v>110</v>
      </c>
      <c r="V55">
        <v>100</v>
      </c>
      <c r="W55">
        <v>99.2</v>
      </c>
      <c r="X55">
        <v>99.420233500678293</v>
      </c>
      <c r="Y55" s="20" t="s">
        <v>64</v>
      </c>
      <c r="Z55" s="28">
        <v>1100</v>
      </c>
      <c r="AA55">
        <v>600</v>
      </c>
      <c r="AB55">
        <v>1700</v>
      </c>
      <c r="AC55">
        <v>60.415229867972897</v>
      </c>
      <c r="AD55" s="28">
        <v>38.078865529319501</v>
      </c>
      <c r="AE55" s="28">
        <v>47.434164902525701</v>
      </c>
      <c r="AF55">
        <v>75.673333920202793</v>
      </c>
      <c r="AG55">
        <v>35.566133232343297</v>
      </c>
      <c r="AH55">
        <v>22.907277393936401</v>
      </c>
      <c r="AI55">
        <v>16.075842429520801</v>
      </c>
      <c r="AJ55">
        <v>20.301752234750101</v>
      </c>
      <c r="AK55">
        <v>19.1345415166797</v>
      </c>
      <c r="AL55" s="20">
        <v>58.557229815967197</v>
      </c>
      <c r="AM55" s="20">
        <v>57.7550470760781</v>
      </c>
      <c r="AN55" s="20" t="s">
        <v>58</v>
      </c>
    </row>
    <row r="56" spans="1:40" x14ac:dyDescent="0.25">
      <c r="A56" s="20">
        <v>54</v>
      </c>
      <c r="B56" s="20" t="s">
        <v>120</v>
      </c>
      <c r="C56" s="20" t="s">
        <v>61</v>
      </c>
      <c r="D56">
        <v>1</v>
      </c>
      <c r="E56" s="20" t="str">
        <f t="shared" si="0"/>
        <v>NAKA</v>
      </c>
      <c r="F56" s="20">
        <v>40.43</v>
      </c>
      <c r="G56" s="20">
        <v>143.75</v>
      </c>
      <c r="H56" s="20">
        <v>10</v>
      </c>
      <c r="I56" s="20">
        <v>7.88</v>
      </c>
      <c r="J56" s="20">
        <v>180</v>
      </c>
      <c r="K56" s="20">
        <v>18</v>
      </c>
      <c r="L56" s="20">
        <v>90</v>
      </c>
      <c r="M56" s="20">
        <v>8</v>
      </c>
      <c r="N56" s="20">
        <v>11</v>
      </c>
      <c r="O56" s="20">
        <v>17</v>
      </c>
      <c r="P56" s="20">
        <v>10</v>
      </c>
      <c r="Q56" s="20">
        <v>10</v>
      </c>
      <c r="R56">
        <v>110</v>
      </c>
      <c r="S56">
        <v>170</v>
      </c>
      <c r="T56">
        <v>58.823529411764703</v>
      </c>
      <c r="U56">
        <v>110</v>
      </c>
      <c r="V56">
        <v>160</v>
      </c>
      <c r="W56">
        <v>62.5</v>
      </c>
      <c r="X56">
        <v>80.837361185883594</v>
      </c>
      <c r="Y56" s="20" t="s">
        <v>64</v>
      </c>
      <c r="Z56">
        <v>1700</v>
      </c>
      <c r="AA56">
        <v>200</v>
      </c>
      <c r="AB56">
        <v>1900</v>
      </c>
      <c r="AC56">
        <v>79.056941504209505</v>
      </c>
      <c r="AD56">
        <v>35.355339059327399</v>
      </c>
      <c r="AE56">
        <v>57.008771254956898</v>
      </c>
      <c r="AF56">
        <v>26.712844840146701</v>
      </c>
      <c r="AG56">
        <v>35.537283676019896</v>
      </c>
      <c r="AH56">
        <v>35.440520026005402</v>
      </c>
      <c r="AI56">
        <v>50.317191725117297</v>
      </c>
      <c r="AJ56">
        <v>16.513847054914301</v>
      </c>
      <c r="AK56">
        <v>17.397484171176799</v>
      </c>
      <c r="AL56" s="20">
        <v>66.078542845087</v>
      </c>
      <c r="AM56" s="20">
        <v>66.4714003478188</v>
      </c>
      <c r="AN56" s="20" t="s">
        <v>58</v>
      </c>
    </row>
    <row r="57" spans="1:40" x14ac:dyDescent="0.25">
      <c r="A57" s="20">
        <v>55</v>
      </c>
      <c r="B57" s="20" t="s">
        <v>121</v>
      </c>
      <c r="C57" s="20" t="s">
        <v>61</v>
      </c>
      <c r="D57">
        <v>1</v>
      </c>
      <c r="E57" s="20" t="str">
        <f t="shared" si="0"/>
        <v>MEND</v>
      </c>
      <c r="F57" s="20">
        <v>18.864000000000001</v>
      </c>
      <c r="G57" s="20">
        <v>-104.57899999999999</v>
      </c>
      <c r="H57" s="20">
        <v>16.55</v>
      </c>
      <c r="I57" s="20">
        <v>7.96</v>
      </c>
      <c r="J57" s="20">
        <v>309</v>
      </c>
      <c r="K57" s="20">
        <v>14</v>
      </c>
      <c r="L57" s="20">
        <v>92</v>
      </c>
      <c r="M57" s="20">
        <v>3</v>
      </c>
      <c r="N57" s="20">
        <v>20</v>
      </c>
      <c r="O57" s="20">
        <v>10</v>
      </c>
      <c r="P57" s="20">
        <v>10</v>
      </c>
      <c r="Q57" s="20">
        <v>10</v>
      </c>
      <c r="R57">
        <v>200</v>
      </c>
      <c r="S57">
        <v>100</v>
      </c>
      <c r="T57">
        <v>118.34626455</v>
      </c>
      <c r="U57">
        <v>170</v>
      </c>
      <c r="V57">
        <v>100</v>
      </c>
      <c r="W57">
        <v>139.23089947058801</v>
      </c>
      <c r="X57">
        <v>112.50775813141099</v>
      </c>
      <c r="Y57" s="20" t="s">
        <v>69</v>
      </c>
      <c r="Z57">
        <v>3300</v>
      </c>
      <c r="AA57">
        <v>1600</v>
      </c>
      <c r="AB57">
        <v>4900</v>
      </c>
      <c r="AC57">
        <v>44.891090430062</v>
      </c>
      <c r="AD57">
        <v>4.1484937025383104</v>
      </c>
      <c r="AE57">
        <v>73.642446998996505</v>
      </c>
      <c r="AF57">
        <v>47.940888407659102</v>
      </c>
      <c r="AG57">
        <v>36.273820340663299</v>
      </c>
      <c r="AH57">
        <v>92.715160480586704</v>
      </c>
      <c r="AI57">
        <v>62.423759976236397</v>
      </c>
      <c r="AJ57">
        <v>18.131284546247802</v>
      </c>
      <c r="AK57">
        <v>17.5719149469762</v>
      </c>
      <c r="AL57" s="20">
        <v>100.49681685172899</v>
      </c>
      <c r="AM57" s="20">
        <v>92.9260544437888</v>
      </c>
      <c r="AN57" s="20" t="s">
        <v>58</v>
      </c>
    </row>
    <row r="58" spans="1:40" x14ac:dyDescent="0.25">
      <c r="A58" s="20">
        <v>56</v>
      </c>
      <c r="B58" s="20" t="s">
        <v>122</v>
      </c>
      <c r="C58" s="20" t="s">
        <v>61</v>
      </c>
      <c r="D58">
        <v>0</v>
      </c>
      <c r="E58" s="20" t="str">
        <f t="shared" si="0"/>
        <v>COUR</v>
      </c>
      <c r="F58" s="20">
        <v>16.48</v>
      </c>
      <c r="G58" s="20">
        <v>-98.76</v>
      </c>
      <c r="H58" s="20">
        <v>15.922810293449301</v>
      </c>
      <c r="I58" s="20">
        <v>7.3</v>
      </c>
      <c r="J58" s="20">
        <v>289</v>
      </c>
      <c r="K58" s="20">
        <v>11</v>
      </c>
      <c r="L58" s="20">
        <v>75</v>
      </c>
      <c r="M58" s="20">
        <v>10.753</v>
      </c>
      <c r="N58" s="20">
        <v>15</v>
      </c>
      <c r="O58" s="20">
        <v>11</v>
      </c>
      <c r="P58" s="20">
        <v>5</v>
      </c>
      <c r="Q58" s="20">
        <v>5</v>
      </c>
      <c r="R58">
        <v>75</v>
      </c>
      <c r="S58">
        <v>55</v>
      </c>
      <c r="T58">
        <v>48.905418787878801</v>
      </c>
      <c r="U58">
        <v>70</v>
      </c>
      <c r="V58">
        <v>55</v>
      </c>
      <c r="W58">
        <v>52.398662987012997</v>
      </c>
      <c r="X58">
        <v>95.754699918661004</v>
      </c>
      <c r="Y58" s="20" t="s">
        <v>76</v>
      </c>
      <c r="Z58">
        <v>525</v>
      </c>
      <c r="AA58">
        <v>175</v>
      </c>
      <c r="AB58">
        <v>700</v>
      </c>
      <c r="AC58">
        <v>21.719474331446499</v>
      </c>
      <c r="AD58">
        <v>3.2391201151018998</v>
      </c>
      <c r="AE58">
        <v>3.2391201151018998</v>
      </c>
      <c r="AF58">
        <v>10.586968171742299</v>
      </c>
      <c r="AG58">
        <v>9.26144840455337</v>
      </c>
      <c r="AH58">
        <v>24.420912528691002</v>
      </c>
      <c r="AI58">
        <v>20.554161177064799</v>
      </c>
      <c r="AJ58">
        <v>7.5805691839759204</v>
      </c>
      <c r="AK58">
        <v>7.1032347598377799</v>
      </c>
      <c r="AL58" s="20">
        <v>4.8317568341504504</v>
      </c>
      <c r="AM58" s="20">
        <v>4.9012536410426</v>
      </c>
      <c r="AN58" s="20" t="s">
        <v>58</v>
      </c>
    </row>
    <row r="59" spans="1:40" x14ac:dyDescent="0.25">
      <c r="A59" s="20">
        <v>57</v>
      </c>
      <c r="B59" s="20" t="s">
        <v>123</v>
      </c>
      <c r="C59" s="20" t="s">
        <v>63</v>
      </c>
      <c r="D59">
        <v>0</v>
      </c>
      <c r="E59" s="20" t="str">
        <f t="shared" si="0"/>
        <v>HORI</v>
      </c>
      <c r="F59" s="20">
        <v>34.606999999999999</v>
      </c>
      <c r="G59" s="20">
        <v>135.04300000000001</v>
      </c>
      <c r="H59" s="20">
        <v>14</v>
      </c>
      <c r="I59" s="20">
        <v>7.01</v>
      </c>
      <c r="J59" s="20">
        <v>233</v>
      </c>
      <c r="K59" s="20">
        <v>85</v>
      </c>
      <c r="L59" s="20">
        <v>180</v>
      </c>
      <c r="M59" s="20">
        <v>0</v>
      </c>
      <c r="N59" s="20">
        <v>12</v>
      </c>
      <c r="O59" s="20">
        <v>4</v>
      </c>
      <c r="P59" s="20">
        <v>4.3333333333333304</v>
      </c>
      <c r="Q59" s="20">
        <v>3.8</v>
      </c>
      <c r="R59">
        <v>52</v>
      </c>
      <c r="S59">
        <v>15.2</v>
      </c>
      <c r="T59">
        <v>129.88749999999999</v>
      </c>
      <c r="U59">
        <v>52</v>
      </c>
      <c r="V59">
        <v>15.2</v>
      </c>
      <c r="W59">
        <v>129.88749999999999</v>
      </c>
      <c r="X59">
        <v>82.328869900837006</v>
      </c>
      <c r="Y59" s="20" t="s">
        <v>57</v>
      </c>
      <c r="Z59">
        <v>263.46666666666698</v>
      </c>
      <c r="AA59">
        <v>214.066666666667</v>
      </c>
      <c r="AB59">
        <v>477.53333333333302</v>
      </c>
      <c r="AC59">
        <v>38.880000571559201</v>
      </c>
      <c r="AD59">
        <v>2.7204983203654298</v>
      </c>
      <c r="AE59">
        <v>1.1493959766377799</v>
      </c>
      <c r="AF59">
        <v>13.286466642078601</v>
      </c>
      <c r="AG59">
        <v>9.30947481139569</v>
      </c>
      <c r="AH59">
        <v>12.7391937690915</v>
      </c>
      <c r="AI59">
        <v>8.9884275366402999</v>
      </c>
      <c r="AJ59">
        <v>7.1736696914262197</v>
      </c>
      <c r="AK59">
        <v>6.2430975211000197</v>
      </c>
      <c r="AL59" s="20">
        <v>6.4193369385007397</v>
      </c>
      <c r="AM59" s="20">
        <v>6.8105960098951703</v>
      </c>
      <c r="AN59" s="20" t="s">
        <v>58</v>
      </c>
    </row>
    <row r="60" spans="1:40" x14ac:dyDescent="0.25">
      <c r="A60" s="20">
        <v>58</v>
      </c>
      <c r="B60" s="20" t="s">
        <v>124</v>
      </c>
      <c r="C60" s="20" t="s">
        <v>63</v>
      </c>
      <c r="D60">
        <v>0</v>
      </c>
      <c r="E60" s="20" t="str">
        <f t="shared" si="0"/>
        <v>IDEx</v>
      </c>
      <c r="F60" s="20">
        <v>34.594999999999999</v>
      </c>
      <c r="G60" s="20">
        <v>135.012</v>
      </c>
      <c r="H60" s="20">
        <v>14.3</v>
      </c>
      <c r="I60" s="20">
        <v>6.89</v>
      </c>
      <c r="J60" s="20">
        <v>232</v>
      </c>
      <c r="K60" s="20">
        <v>85</v>
      </c>
      <c r="L60" s="20">
        <v>8.7468074757094492</v>
      </c>
      <c r="M60" s="20">
        <v>0.01</v>
      </c>
      <c r="N60" s="20">
        <v>101</v>
      </c>
      <c r="O60" s="20">
        <v>41</v>
      </c>
      <c r="P60" s="20">
        <v>0.5</v>
      </c>
      <c r="Q60" s="20">
        <v>0.5</v>
      </c>
      <c r="R60">
        <v>50</v>
      </c>
      <c r="S60">
        <v>20</v>
      </c>
      <c r="T60">
        <v>66.101893485486599</v>
      </c>
      <c r="U60">
        <v>44</v>
      </c>
      <c r="V60">
        <v>19</v>
      </c>
      <c r="W60">
        <v>81.856441663696202</v>
      </c>
      <c r="X60">
        <v>43.473830507732401</v>
      </c>
      <c r="Y60" s="20" t="s">
        <v>57</v>
      </c>
      <c r="Z60">
        <v>323.5</v>
      </c>
      <c r="AA60">
        <v>171</v>
      </c>
      <c r="AB60">
        <v>494.5</v>
      </c>
      <c r="AC60">
        <v>33.712015662075103</v>
      </c>
      <c r="AD60">
        <v>0</v>
      </c>
      <c r="AE60">
        <v>0</v>
      </c>
      <c r="AF60">
        <v>49.999999999999702</v>
      </c>
      <c r="AG60">
        <v>20</v>
      </c>
      <c r="AH60">
        <v>12.5425700115682</v>
      </c>
      <c r="AI60">
        <v>9.4738664233065002</v>
      </c>
      <c r="AJ60">
        <v>1.40566574513343</v>
      </c>
      <c r="AK60">
        <v>1.38838160625591</v>
      </c>
      <c r="AL60" s="20">
        <v>8.0518385801008208</v>
      </c>
      <c r="AM60" s="20">
        <v>4.3843584536394804</v>
      </c>
      <c r="AN60" s="20" t="s">
        <v>58</v>
      </c>
    </row>
    <row r="61" spans="1:40" x14ac:dyDescent="0.25">
      <c r="A61" s="20">
        <v>59</v>
      </c>
      <c r="B61" s="20" t="s">
        <v>125</v>
      </c>
      <c r="C61" s="20" t="s">
        <v>63</v>
      </c>
      <c r="D61">
        <v>0</v>
      </c>
      <c r="E61" s="20" t="str">
        <f t="shared" si="0"/>
        <v>KOKE</v>
      </c>
      <c r="F61" s="20">
        <v>34.594999999999999</v>
      </c>
      <c r="G61" s="20">
        <v>135.012</v>
      </c>
      <c r="H61" s="20">
        <v>14.3</v>
      </c>
      <c r="I61" s="20">
        <v>6.87</v>
      </c>
      <c r="J61" s="20">
        <v>45</v>
      </c>
      <c r="K61" s="20">
        <v>85</v>
      </c>
      <c r="L61" s="20">
        <v>180</v>
      </c>
      <c r="M61" s="20">
        <v>0.01</v>
      </c>
      <c r="N61" s="20">
        <v>18</v>
      </c>
      <c r="O61" s="20">
        <v>4</v>
      </c>
      <c r="P61" s="20">
        <v>4</v>
      </c>
      <c r="Q61" s="20">
        <v>4</v>
      </c>
      <c r="R61">
        <v>72</v>
      </c>
      <c r="S61">
        <v>16</v>
      </c>
      <c r="T61">
        <v>75.5416666666667</v>
      </c>
      <c r="U61">
        <v>60</v>
      </c>
      <c r="V61">
        <v>16</v>
      </c>
      <c r="W61">
        <v>90.65</v>
      </c>
      <c r="X61">
        <v>64.795526435061205</v>
      </c>
      <c r="Y61" s="20" t="s">
        <v>57</v>
      </c>
      <c r="Z61">
        <v>272</v>
      </c>
      <c r="AA61">
        <v>64</v>
      </c>
      <c r="AB61">
        <v>336</v>
      </c>
      <c r="AC61">
        <v>17.2046505340853</v>
      </c>
      <c r="AD61">
        <v>2.8284271247461898</v>
      </c>
      <c r="AE61">
        <v>2.8284271247461898</v>
      </c>
      <c r="AF61">
        <v>12.619814450645499</v>
      </c>
      <c r="AG61">
        <v>10.2748963518873</v>
      </c>
      <c r="AH61">
        <v>20.061592498832699</v>
      </c>
      <c r="AI61">
        <v>14.947816996744001</v>
      </c>
      <c r="AJ61">
        <v>6.4795666299679402</v>
      </c>
      <c r="AK61">
        <v>6.6550528501739104</v>
      </c>
      <c r="AL61" s="20">
        <v>1.13861064899288</v>
      </c>
      <c r="AM61" s="20">
        <v>8.8111716502403894</v>
      </c>
      <c r="AN61" s="20" t="s">
        <v>58</v>
      </c>
    </row>
    <row r="62" spans="1:40" x14ac:dyDescent="0.25">
      <c r="A62" s="20">
        <v>60</v>
      </c>
      <c r="B62" s="20" t="s">
        <v>126</v>
      </c>
      <c r="C62" s="20" t="s">
        <v>63</v>
      </c>
      <c r="D62">
        <v>0</v>
      </c>
      <c r="E62" s="20" t="str">
        <f t="shared" si="0"/>
        <v>SEKI</v>
      </c>
      <c r="F62" s="20">
        <v>34.597999999999999</v>
      </c>
      <c r="G62" s="20">
        <v>135.04400000000001</v>
      </c>
      <c r="H62" s="20">
        <v>16.37</v>
      </c>
      <c r="I62" s="20">
        <v>6.99</v>
      </c>
      <c r="J62" s="20">
        <v>45</v>
      </c>
      <c r="K62" s="20">
        <v>85</v>
      </c>
      <c r="L62" s="20">
        <v>-170.36235897404899</v>
      </c>
      <c r="M62" s="20">
        <v>1</v>
      </c>
      <c r="N62" s="20">
        <v>31</v>
      </c>
      <c r="O62" s="20">
        <v>10</v>
      </c>
      <c r="P62" s="20">
        <v>2.0499999999999998</v>
      </c>
      <c r="Q62" s="20">
        <v>2.0499999999999998</v>
      </c>
      <c r="R62">
        <v>63.55</v>
      </c>
      <c r="S62">
        <v>20.5</v>
      </c>
      <c r="T62">
        <v>72.956324810871905</v>
      </c>
      <c r="U62">
        <v>63.55</v>
      </c>
      <c r="V62">
        <v>20.5</v>
      </c>
      <c r="W62">
        <v>72.956324810871905</v>
      </c>
      <c r="X62">
        <v>43.237545564693903</v>
      </c>
      <c r="Y62" s="20" t="s">
        <v>76</v>
      </c>
      <c r="Z62">
        <v>214.32749999999999</v>
      </c>
      <c r="AA62">
        <v>25.215</v>
      </c>
      <c r="AB62">
        <v>239.54249999999999</v>
      </c>
      <c r="AC62">
        <v>17.180640267463801</v>
      </c>
      <c r="AD62">
        <v>1.02</v>
      </c>
      <c r="AE62">
        <v>13.9374639012985</v>
      </c>
      <c r="AF62">
        <v>13.845788961021601</v>
      </c>
      <c r="AG62">
        <v>11.4006121724598</v>
      </c>
      <c r="AH62">
        <v>27.1846048114021</v>
      </c>
      <c r="AI62">
        <v>20.499980652848102</v>
      </c>
      <c r="AJ62">
        <v>3.9903586817944698</v>
      </c>
      <c r="AK62">
        <v>3.8316803546438201</v>
      </c>
      <c r="AL62" s="20">
        <v>17.191601466995401</v>
      </c>
      <c r="AM62" s="20">
        <v>14.7590473791502</v>
      </c>
      <c r="AN62" s="20" t="s">
        <v>58</v>
      </c>
    </row>
    <row r="63" spans="1:40" x14ac:dyDescent="0.25">
      <c r="A63" s="20">
        <v>61</v>
      </c>
      <c r="B63" s="20" t="s">
        <v>127</v>
      </c>
      <c r="C63" s="20" t="s">
        <v>63</v>
      </c>
      <c r="D63">
        <v>0</v>
      </c>
      <c r="E63" s="20" t="str">
        <f t="shared" si="0"/>
        <v>WALD</v>
      </c>
      <c r="F63" s="20">
        <v>34.594999999999999</v>
      </c>
      <c r="G63" s="20">
        <v>135.012</v>
      </c>
      <c r="H63" s="20">
        <v>14.3</v>
      </c>
      <c r="I63" s="20">
        <v>6.92</v>
      </c>
      <c r="J63" s="20">
        <v>45</v>
      </c>
      <c r="K63" s="20">
        <v>85</v>
      </c>
      <c r="L63" s="20">
        <v>173.13635058296001</v>
      </c>
      <c r="M63" s="20">
        <v>0.2</v>
      </c>
      <c r="N63" s="20">
        <v>18</v>
      </c>
      <c r="O63" s="20">
        <v>8</v>
      </c>
      <c r="P63" s="20">
        <v>3.3333333333333299</v>
      </c>
      <c r="Q63" s="20">
        <v>2.5</v>
      </c>
      <c r="R63">
        <v>60</v>
      </c>
      <c r="S63">
        <v>20</v>
      </c>
      <c r="T63">
        <v>73.006148913843404</v>
      </c>
      <c r="U63">
        <v>50</v>
      </c>
      <c r="V63">
        <v>20</v>
      </c>
      <c r="W63">
        <v>87.607378696612102</v>
      </c>
      <c r="X63">
        <v>61.9695272008614</v>
      </c>
      <c r="Y63" s="20" t="s">
        <v>57</v>
      </c>
      <c r="Z63" s="28">
        <v>175</v>
      </c>
      <c r="AA63">
        <v>25</v>
      </c>
      <c r="AB63">
        <v>200</v>
      </c>
      <c r="AC63">
        <v>16.7862377493522</v>
      </c>
      <c r="AD63">
        <v>0.5</v>
      </c>
      <c r="AE63">
        <v>12</v>
      </c>
      <c r="AF63">
        <v>12.2946789264209</v>
      </c>
      <c r="AG63">
        <v>9.8277788845179703</v>
      </c>
      <c r="AH63">
        <v>16.800381737572799</v>
      </c>
      <c r="AI63">
        <v>13.612886710979399</v>
      </c>
      <c r="AJ63">
        <v>5.7849490843928901</v>
      </c>
      <c r="AK63">
        <v>4.48758810195352</v>
      </c>
      <c r="AL63" s="20">
        <v>14.8462217914189</v>
      </c>
      <c r="AM63" s="20">
        <v>12.9732125651282</v>
      </c>
      <c r="AN63" s="20" t="s">
        <v>58</v>
      </c>
    </row>
    <row r="64" spans="1:40" x14ac:dyDescent="0.25">
      <c r="A64" s="20">
        <v>62</v>
      </c>
      <c r="B64" s="20" t="s">
        <v>128</v>
      </c>
      <c r="C64" s="20" t="s">
        <v>63</v>
      </c>
      <c r="D64">
        <v>0</v>
      </c>
      <c r="E64" s="20" t="str">
        <f t="shared" si="0"/>
        <v>YOSH</v>
      </c>
      <c r="F64" s="20">
        <v>34.594999999999999</v>
      </c>
      <c r="G64" s="20">
        <v>135.012</v>
      </c>
      <c r="H64" s="20">
        <v>14.3</v>
      </c>
      <c r="I64" s="20">
        <v>6.86</v>
      </c>
      <c r="J64" s="20">
        <v>45</v>
      </c>
      <c r="K64" s="20">
        <v>85</v>
      </c>
      <c r="L64" s="20">
        <v>-176.45498537041999</v>
      </c>
      <c r="M64" s="20">
        <v>5.0000000000000001E-3</v>
      </c>
      <c r="N64" s="20">
        <v>15</v>
      </c>
      <c r="O64" s="20">
        <v>4</v>
      </c>
      <c r="P64" s="20">
        <v>4</v>
      </c>
      <c r="Q64" s="20">
        <v>4</v>
      </c>
      <c r="R64">
        <v>60</v>
      </c>
      <c r="S64">
        <v>16</v>
      </c>
      <c r="T64">
        <v>81.310048829769897</v>
      </c>
      <c r="U64">
        <v>52</v>
      </c>
      <c r="V64">
        <v>16</v>
      </c>
      <c r="W64">
        <v>93.819287111272999</v>
      </c>
      <c r="X64">
        <v>66.004845222862897</v>
      </c>
      <c r="Y64" s="20" t="s">
        <v>57</v>
      </c>
      <c r="Z64" s="28">
        <v>192</v>
      </c>
      <c r="AA64">
        <v>144</v>
      </c>
      <c r="AB64">
        <v>336</v>
      </c>
      <c r="AC64">
        <v>11.6619037896906</v>
      </c>
      <c r="AD64" s="28">
        <v>2.8284271247461898</v>
      </c>
      <c r="AE64">
        <v>2.8284271247461898</v>
      </c>
      <c r="AF64">
        <v>11.6711118685228</v>
      </c>
      <c r="AG64">
        <v>8.1364231642263007</v>
      </c>
      <c r="AH64">
        <v>30.8130833546799</v>
      </c>
      <c r="AI64">
        <v>15.9999848738696</v>
      </c>
      <c r="AJ64">
        <v>6.4757794764674301</v>
      </c>
      <c r="AK64">
        <v>6.16031577895646</v>
      </c>
      <c r="AL64" s="20">
        <v>4.6112567354247398</v>
      </c>
      <c r="AM64" s="20">
        <v>5.7654177689045198</v>
      </c>
      <c r="AN64" s="20" t="s">
        <v>58</v>
      </c>
    </row>
    <row r="65" spans="1:40" x14ac:dyDescent="0.25">
      <c r="A65" s="20">
        <v>63</v>
      </c>
      <c r="B65" s="20" t="s">
        <v>129</v>
      </c>
      <c r="C65" s="20" t="s">
        <v>63</v>
      </c>
      <c r="D65">
        <v>0</v>
      </c>
      <c r="E65" s="20" t="str">
        <f t="shared" si="0"/>
        <v>ZENG</v>
      </c>
      <c r="F65" s="20">
        <v>34.594999999999999</v>
      </c>
      <c r="G65" s="20">
        <v>135.012</v>
      </c>
      <c r="H65" s="20">
        <v>14.3</v>
      </c>
      <c r="I65" s="20">
        <v>6.9</v>
      </c>
      <c r="J65" s="20">
        <v>45</v>
      </c>
      <c r="K65" s="20">
        <v>85</v>
      </c>
      <c r="L65" s="20">
        <v>180</v>
      </c>
      <c r="M65" s="20">
        <v>0.01</v>
      </c>
      <c r="N65" s="20">
        <v>120</v>
      </c>
      <c r="O65" s="20">
        <v>40</v>
      </c>
      <c r="P65" s="20">
        <v>0.5</v>
      </c>
      <c r="Q65" s="20">
        <v>0.5</v>
      </c>
      <c r="R65">
        <v>60</v>
      </c>
      <c r="S65">
        <v>20</v>
      </c>
      <c r="T65">
        <v>65.329803749999996</v>
      </c>
      <c r="U65">
        <v>53</v>
      </c>
      <c r="V65">
        <v>19.5</v>
      </c>
      <c r="W65">
        <v>75.854634252539896</v>
      </c>
      <c r="X65">
        <v>79.691549275769404</v>
      </c>
      <c r="Y65" s="20" t="s">
        <v>76</v>
      </c>
      <c r="Z65" s="28">
        <v>240.5</v>
      </c>
      <c r="AA65">
        <v>35.75</v>
      </c>
      <c r="AB65">
        <v>276.25</v>
      </c>
      <c r="AC65">
        <v>13.6014705087354</v>
      </c>
      <c r="AD65">
        <v>1.5</v>
      </c>
      <c r="AE65">
        <v>4</v>
      </c>
      <c r="AF65">
        <v>15.996731086473799</v>
      </c>
      <c r="AG65">
        <v>14.2684669606372</v>
      </c>
      <c r="AH65">
        <v>6.4127681722895398</v>
      </c>
      <c r="AI65">
        <v>5.9000836086275701</v>
      </c>
      <c r="AJ65">
        <v>1.22158068707237</v>
      </c>
      <c r="AK65">
        <v>1.2079775428059101</v>
      </c>
      <c r="AL65" s="20">
        <v>12.8280231368672</v>
      </c>
      <c r="AM65" s="20">
        <v>9.9564735935972806</v>
      </c>
      <c r="AN65" s="20" t="s">
        <v>58</v>
      </c>
    </row>
    <row r="66" spans="1:40" x14ac:dyDescent="0.25">
      <c r="A66" s="20">
        <v>64</v>
      </c>
      <c r="B66" s="20" t="s">
        <v>130</v>
      </c>
      <c r="C66" s="20" t="s">
        <v>63</v>
      </c>
      <c r="D66">
        <v>0</v>
      </c>
      <c r="E66" s="20" t="str">
        <f t="shared" si="0"/>
        <v>SEKI</v>
      </c>
      <c r="F66" s="20">
        <v>34.597999999999999</v>
      </c>
      <c r="G66" s="20">
        <v>135.04400000000001</v>
      </c>
      <c r="H66" s="20">
        <v>16.37</v>
      </c>
      <c r="I66" s="20">
        <v>7.02</v>
      </c>
      <c r="J66" s="20">
        <v>45</v>
      </c>
      <c r="K66" s="20">
        <v>85</v>
      </c>
      <c r="L66" s="20">
        <v>180</v>
      </c>
      <c r="M66" s="20">
        <v>1</v>
      </c>
      <c r="N66" s="20">
        <v>31</v>
      </c>
      <c r="O66" s="20">
        <v>10</v>
      </c>
      <c r="P66" s="20">
        <v>2.0499999999999998</v>
      </c>
      <c r="Q66" s="20">
        <v>2.0499999999999998</v>
      </c>
      <c r="R66">
        <v>63.55</v>
      </c>
      <c r="S66">
        <v>20.5</v>
      </c>
      <c r="T66">
        <v>79.277419354838699</v>
      </c>
      <c r="U66">
        <v>55.35</v>
      </c>
      <c r="V66">
        <v>20.5</v>
      </c>
      <c r="W66">
        <v>91.022222222222197</v>
      </c>
      <c r="X66">
        <v>70.243669709734206</v>
      </c>
      <c r="Y66" s="20" t="s">
        <v>76</v>
      </c>
      <c r="Z66" s="28">
        <v>189.11250000000001</v>
      </c>
      <c r="AA66">
        <v>25.215</v>
      </c>
      <c r="AB66">
        <v>214.32749999999999</v>
      </c>
      <c r="AC66">
        <v>19.794226430957099</v>
      </c>
      <c r="AD66">
        <v>1.02</v>
      </c>
      <c r="AE66">
        <v>13.9374639012985</v>
      </c>
      <c r="AF66">
        <v>12.9480890835142</v>
      </c>
      <c r="AG66">
        <v>9.2256448479226094</v>
      </c>
      <c r="AH66">
        <v>21.840269981225099</v>
      </c>
      <c r="AI66">
        <v>14.101156465726699</v>
      </c>
      <c r="AJ66">
        <v>3.9359166210573302</v>
      </c>
      <c r="AK66">
        <v>3.7598086013711698</v>
      </c>
      <c r="AL66" s="20">
        <v>17.350480710343401</v>
      </c>
      <c r="AM66" s="20">
        <v>14.7101133323302</v>
      </c>
      <c r="AN66" s="20" t="s">
        <v>58</v>
      </c>
    </row>
    <row r="67" spans="1:40" x14ac:dyDescent="0.25">
      <c r="A67" s="20">
        <v>65</v>
      </c>
      <c r="B67" s="20" t="s">
        <v>131</v>
      </c>
      <c r="C67" s="20" t="s">
        <v>61</v>
      </c>
      <c r="D67">
        <v>1</v>
      </c>
      <c r="E67" s="20" t="str">
        <f t="shared" ref="E67:E130" si="1">RIGHT(B67,4)</f>
        <v>YAGI</v>
      </c>
      <c r="F67" s="20">
        <v>31.835000000000001</v>
      </c>
      <c r="G67" s="20">
        <v>131.958</v>
      </c>
      <c r="H67" s="20">
        <v>11.6</v>
      </c>
      <c r="I67" s="20">
        <v>6.81</v>
      </c>
      <c r="J67" s="20">
        <v>210</v>
      </c>
      <c r="K67" s="20">
        <v>12</v>
      </c>
      <c r="L67" s="20">
        <v>82.364250706882899</v>
      </c>
      <c r="M67" s="20">
        <v>0.01</v>
      </c>
      <c r="N67" s="20">
        <v>11</v>
      </c>
      <c r="O67" s="20">
        <v>11</v>
      </c>
      <c r="P67" s="20">
        <v>2.92</v>
      </c>
      <c r="Q67" s="20">
        <v>2.92</v>
      </c>
      <c r="R67">
        <v>32.119999999999997</v>
      </c>
      <c r="S67">
        <v>32.119999999999997</v>
      </c>
      <c r="T67">
        <v>54.156974447636202</v>
      </c>
      <c r="U67">
        <v>32.119999999999997</v>
      </c>
      <c r="V67">
        <v>32.119999999999997</v>
      </c>
      <c r="W67">
        <v>54.156974447636202</v>
      </c>
      <c r="X67">
        <v>43.476828546944397</v>
      </c>
      <c r="Y67" s="20" t="s">
        <v>57</v>
      </c>
      <c r="Z67">
        <v>76.7376</v>
      </c>
      <c r="AA67">
        <v>25.5792</v>
      </c>
      <c r="AB67">
        <v>102.3168</v>
      </c>
      <c r="AC67">
        <v>4.6232888726533199</v>
      </c>
      <c r="AD67">
        <v>2.0506584308460498</v>
      </c>
      <c r="AE67">
        <v>2.0506584308460498</v>
      </c>
      <c r="AF67">
        <v>8.5920680924275494</v>
      </c>
      <c r="AG67">
        <v>18.1806662368421</v>
      </c>
      <c r="AH67">
        <v>5.7713298259668502</v>
      </c>
      <c r="AI67">
        <v>10.451458091981401</v>
      </c>
      <c r="AJ67">
        <v>4.8893759943291402</v>
      </c>
      <c r="AK67">
        <v>5.8916103122886403</v>
      </c>
      <c r="AL67" s="20">
        <v>2.5704643393752802</v>
      </c>
      <c r="AM67" s="20">
        <v>3.6531635304212702</v>
      </c>
      <c r="AN67" s="20" t="s">
        <v>58</v>
      </c>
    </row>
    <row r="68" spans="1:40" x14ac:dyDescent="0.25">
      <c r="A68" s="20">
        <v>66</v>
      </c>
      <c r="B68" s="20" t="s">
        <v>132</v>
      </c>
      <c r="C68" s="20" t="s">
        <v>61</v>
      </c>
      <c r="D68">
        <v>1</v>
      </c>
      <c r="E68" s="20" t="str">
        <f t="shared" si="1"/>
        <v>YAGI</v>
      </c>
      <c r="F68" s="20">
        <v>31.803000000000001</v>
      </c>
      <c r="G68" s="20">
        <v>131.58799999999999</v>
      </c>
      <c r="H68" s="20">
        <v>20.399999999999999</v>
      </c>
      <c r="I68" s="20">
        <v>6.68</v>
      </c>
      <c r="J68" s="20">
        <v>210</v>
      </c>
      <c r="K68" s="20">
        <v>12</v>
      </c>
      <c r="L68" s="20">
        <v>87.237629401241904</v>
      </c>
      <c r="M68" s="20">
        <v>0.01</v>
      </c>
      <c r="N68" s="20">
        <v>10</v>
      </c>
      <c r="O68" s="20">
        <v>10</v>
      </c>
      <c r="P68" s="20">
        <v>2.92</v>
      </c>
      <c r="Q68" s="20">
        <v>2.92</v>
      </c>
      <c r="R68">
        <v>29.2</v>
      </c>
      <c r="S68">
        <v>29.2</v>
      </c>
      <c r="T68">
        <v>42.2197057733731</v>
      </c>
      <c r="U68">
        <v>29.2</v>
      </c>
      <c r="V68">
        <v>29.2</v>
      </c>
      <c r="W68">
        <v>42.2197057733731</v>
      </c>
      <c r="X68">
        <v>28.8308175012031</v>
      </c>
      <c r="Y68" s="20" t="s">
        <v>57</v>
      </c>
      <c r="Z68" s="28">
        <v>162.0016</v>
      </c>
      <c r="AA68">
        <v>25.5792</v>
      </c>
      <c r="AB68">
        <v>187.58080000000001</v>
      </c>
      <c r="AC68">
        <v>4.6296436147936904</v>
      </c>
      <c r="AD68">
        <v>2.0364675298172599</v>
      </c>
      <c r="AE68">
        <v>4.6296436147936904</v>
      </c>
      <c r="AF68">
        <v>10.4978631585114</v>
      </c>
      <c r="AG68">
        <v>16.922089200576</v>
      </c>
      <c r="AH68">
        <v>11.2342931357484</v>
      </c>
      <c r="AI68">
        <v>18.469525827122101</v>
      </c>
      <c r="AJ68">
        <v>5.0790168398961697</v>
      </c>
      <c r="AK68">
        <v>5.6772043752872401</v>
      </c>
      <c r="AL68" s="20">
        <v>6.2371900484112199</v>
      </c>
      <c r="AM68" s="20">
        <v>5.5071667388957799</v>
      </c>
      <c r="AN68" s="20" t="s">
        <v>58</v>
      </c>
    </row>
    <row r="69" spans="1:40" x14ac:dyDescent="0.25">
      <c r="A69" s="20">
        <v>67</v>
      </c>
      <c r="B69" s="20" t="s">
        <v>133</v>
      </c>
      <c r="C69" s="20" t="s">
        <v>61</v>
      </c>
      <c r="D69">
        <v>0</v>
      </c>
      <c r="E69" s="20" t="str">
        <f t="shared" si="1"/>
        <v>HAYE</v>
      </c>
      <c r="F69" s="20">
        <v>-14.973000000000001</v>
      </c>
      <c r="G69" s="20">
        <v>-75.569999999999993</v>
      </c>
      <c r="H69" s="20">
        <v>21</v>
      </c>
      <c r="I69" s="20">
        <v>7.7</v>
      </c>
      <c r="J69" s="20">
        <v>312</v>
      </c>
      <c r="K69" s="20">
        <v>33</v>
      </c>
      <c r="L69" s="20">
        <v>60.627517355599601</v>
      </c>
      <c r="M69" s="20">
        <v>0.03</v>
      </c>
      <c r="N69" s="20">
        <v>20</v>
      </c>
      <c r="O69" s="20">
        <v>15</v>
      </c>
      <c r="P69" s="20">
        <v>10</v>
      </c>
      <c r="Q69" s="20">
        <v>7</v>
      </c>
      <c r="R69" s="25">
        <v>200</v>
      </c>
      <c r="S69" s="25">
        <v>105</v>
      </c>
      <c r="T69" s="25">
        <v>42.248566666666697</v>
      </c>
      <c r="U69" s="25">
        <v>180</v>
      </c>
      <c r="V69" s="25">
        <v>77</v>
      </c>
      <c r="W69" s="25">
        <v>64.012979797979796</v>
      </c>
      <c r="X69" s="25">
        <v>68.323617187664198</v>
      </c>
      <c r="Y69" s="20" t="s">
        <v>102</v>
      </c>
      <c r="Z69" s="29">
        <v>2240</v>
      </c>
      <c r="AA69" s="25">
        <v>420</v>
      </c>
      <c r="AB69" s="25">
        <v>2660</v>
      </c>
      <c r="AC69" s="25">
        <v>114.43447906990301</v>
      </c>
      <c r="AD69" s="25">
        <v>6.1032778078668501</v>
      </c>
      <c r="AE69" s="25">
        <v>65.094162564703097</v>
      </c>
      <c r="AF69" s="25">
        <v>49.472905379752703</v>
      </c>
      <c r="AG69" s="25">
        <v>33.649453043420003</v>
      </c>
      <c r="AH69" s="25">
        <v>28.9105629679926</v>
      </c>
      <c r="AI69" s="25">
        <v>19.930870218686401</v>
      </c>
      <c r="AJ69" s="25">
        <v>18.662337413464201</v>
      </c>
      <c r="AK69" s="25">
        <v>13.1496143141551</v>
      </c>
      <c r="AL69" s="20">
        <v>79.592722826273501</v>
      </c>
      <c r="AM69" s="20">
        <v>71.377458738245906</v>
      </c>
      <c r="AN69" s="20" t="s">
        <v>58</v>
      </c>
    </row>
    <row r="70" spans="1:40" x14ac:dyDescent="0.25">
      <c r="A70" s="20">
        <v>68</v>
      </c>
      <c r="B70" s="20" t="s">
        <v>134</v>
      </c>
      <c r="C70" s="20" t="s">
        <v>61</v>
      </c>
      <c r="D70">
        <v>1</v>
      </c>
      <c r="E70" s="20" t="str">
        <f t="shared" si="1"/>
        <v>SALI</v>
      </c>
      <c r="F70" s="20">
        <v>-14.99</v>
      </c>
      <c r="G70" s="20">
        <v>-75.63</v>
      </c>
      <c r="H70" s="20">
        <v>21</v>
      </c>
      <c r="I70" s="20">
        <v>7.84</v>
      </c>
      <c r="J70" s="20">
        <v>307</v>
      </c>
      <c r="K70" s="20">
        <v>30</v>
      </c>
      <c r="L70" s="20">
        <v>46.923436596146203</v>
      </c>
      <c r="M70" s="20">
        <v>8</v>
      </c>
      <c r="N70" s="20">
        <v>9</v>
      </c>
      <c r="O70" s="20">
        <v>6</v>
      </c>
      <c r="P70" s="20">
        <v>20</v>
      </c>
      <c r="Q70" s="20">
        <v>20</v>
      </c>
      <c r="R70">
        <v>180</v>
      </c>
      <c r="S70">
        <v>120</v>
      </c>
      <c r="T70">
        <v>49.415755555555599</v>
      </c>
      <c r="U70">
        <v>180</v>
      </c>
      <c r="V70">
        <v>100</v>
      </c>
      <c r="W70">
        <v>59.298906666666703</v>
      </c>
      <c r="X70">
        <v>87.891948554756695</v>
      </c>
      <c r="Y70" s="20" t="s">
        <v>57</v>
      </c>
      <c r="Z70" s="28">
        <v>1600</v>
      </c>
      <c r="AA70">
        <v>800</v>
      </c>
      <c r="AB70">
        <v>2400</v>
      </c>
      <c r="AC70">
        <v>142.126704035519</v>
      </c>
      <c r="AD70">
        <v>14.142135623731001</v>
      </c>
      <c r="AE70">
        <v>31.6227766016838</v>
      </c>
      <c r="AF70">
        <v>34.5083485363606</v>
      </c>
      <c r="AG70">
        <v>21.2057453669957</v>
      </c>
      <c r="AH70">
        <v>73.8465844057841</v>
      </c>
      <c r="AI70">
        <v>35.688913531771099</v>
      </c>
      <c r="AJ70">
        <v>27.390402415572598</v>
      </c>
      <c r="AK70">
        <v>23.6230578496452</v>
      </c>
      <c r="AL70" s="20">
        <v>40.240435008210298</v>
      </c>
      <c r="AM70" s="20">
        <v>64.601667775762607</v>
      </c>
      <c r="AN70" s="20" t="s">
        <v>58</v>
      </c>
    </row>
    <row r="71" spans="1:40" x14ac:dyDescent="0.25">
      <c r="A71" s="20">
        <v>69</v>
      </c>
      <c r="B71" s="20" t="s">
        <v>135</v>
      </c>
      <c r="C71" s="20" t="s">
        <v>61</v>
      </c>
      <c r="D71">
        <v>1</v>
      </c>
      <c r="E71" s="20" t="str">
        <f t="shared" si="1"/>
        <v>SPEN</v>
      </c>
      <c r="F71" s="20">
        <v>-14.99</v>
      </c>
      <c r="G71" s="20">
        <v>-75.63</v>
      </c>
      <c r="H71" s="20">
        <v>21</v>
      </c>
      <c r="I71" s="20">
        <v>8.06</v>
      </c>
      <c r="J71" s="20">
        <v>312</v>
      </c>
      <c r="K71" s="20">
        <v>33</v>
      </c>
      <c r="L71" s="20">
        <v>52</v>
      </c>
      <c r="M71" s="20">
        <v>1</v>
      </c>
      <c r="N71" s="20">
        <v>25</v>
      </c>
      <c r="O71" s="20">
        <v>10</v>
      </c>
      <c r="P71" s="20">
        <v>12</v>
      </c>
      <c r="Q71" s="20">
        <v>12</v>
      </c>
      <c r="R71">
        <v>300</v>
      </c>
      <c r="S71">
        <v>120</v>
      </c>
      <c r="T71">
        <v>76.566975584000005</v>
      </c>
      <c r="U71">
        <v>300</v>
      </c>
      <c r="V71">
        <v>120</v>
      </c>
      <c r="W71">
        <v>76.566975584000005</v>
      </c>
      <c r="X71">
        <v>69.927161800275002</v>
      </c>
      <c r="Y71" s="20" t="s">
        <v>69</v>
      </c>
      <c r="Z71" s="28">
        <v>5904</v>
      </c>
      <c r="AA71">
        <v>2592</v>
      </c>
      <c r="AB71">
        <v>8496</v>
      </c>
      <c r="AC71">
        <v>81.0431983574192</v>
      </c>
      <c r="AD71">
        <v>6.3245553203367599</v>
      </c>
      <c r="AE71">
        <v>6.3245553203367599</v>
      </c>
      <c r="AF71">
        <v>50.494669291453398</v>
      </c>
      <c r="AG71">
        <v>62.707594455717299</v>
      </c>
      <c r="AH71">
        <v>71.623344243656504</v>
      </c>
      <c r="AI71">
        <v>92.287773052250898</v>
      </c>
      <c r="AJ71">
        <v>21.348195539862399</v>
      </c>
      <c r="AK71">
        <v>22.574864209825201</v>
      </c>
      <c r="AL71" s="20">
        <v>92.761972833699502</v>
      </c>
      <c r="AM71" s="20">
        <v>92.777886392016896</v>
      </c>
      <c r="AN71" s="20" t="s">
        <v>58</v>
      </c>
    </row>
    <row r="72" spans="1:40" x14ac:dyDescent="0.25">
      <c r="A72" s="20">
        <v>70</v>
      </c>
      <c r="B72" s="20" t="s">
        <v>136</v>
      </c>
      <c r="C72" s="20" t="s">
        <v>56</v>
      </c>
      <c r="D72">
        <v>0</v>
      </c>
      <c r="E72" s="20" t="str">
        <f t="shared" si="1"/>
        <v>WANG</v>
      </c>
      <c r="F72" s="20">
        <v>30.145636</v>
      </c>
      <c r="G72" s="20">
        <v>88.289446888889003</v>
      </c>
      <c r="H72" s="20">
        <v>8.25</v>
      </c>
      <c r="I72" s="20">
        <v>6.08</v>
      </c>
      <c r="J72" s="20">
        <v>38.700000000000301</v>
      </c>
      <c r="K72" s="20">
        <v>54.200000000000401</v>
      </c>
      <c r="L72" s="20">
        <v>-34.204310487716498</v>
      </c>
      <c r="M72" s="20">
        <v>0</v>
      </c>
      <c r="N72" s="20">
        <v>25</v>
      </c>
      <c r="O72" s="20">
        <v>18</v>
      </c>
      <c r="P72" s="20">
        <v>1</v>
      </c>
      <c r="Q72" s="20">
        <v>1</v>
      </c>
      <c r="R72">
        <v>25</v>
      </c>
      <c r="S72">
        <v>18</v>
      </c>
      <c r="T72">
        <v>10.225879370489301</v>
      </c>
      <c r="U72">
        <v>20</v>
      </c>
      <c r="V72">
        <v>17</v>
      </c>
      <c r="W72">
        <v>13.534252108000601</v>
      </c>
      <c r="X72">
        <v>11.0048295284613</v>
      </c>
      <c r="Y72" s="20" t="s">
        <v>110</v>
      </c>
      <c r="Z72" s="28">
        <v>65</v>
      </c>
      <c r="AA72">
        <v>32</v>
      </c>
      <c r="AB72">
        <v>97</v>
      </c>
      <c r="AC72">
        <v>3.2015621187164198</v>
      </c>
      <c r="AD72">
        <v>1.8027756377319899</v>
      </c>
      <c r="AE72">
        <v>0.5</v>
      </c>
      <c r="AF72">
        <v>20.8151754369635</v>
      </c>
      <c r="AG72">
        <v>17.9729473509984</v>
      </c>
      <c r="AH72">
        <v>4.4126741371873397</v>
      </c>
      <c r="AI72">
        <v>4.1516586488235498</v>
      </c>
      <c r="AJ72">
        <v>2.3499572878542798</v>
      </c>
      <c r="AK72">
        <v>2.3395575866695801</v>
      </c>
      <c r="AL72" s="20">
        <v>0.68173574059161601</v>
      </c>
      <c r="AM72" s="20">
        <v>0.60289609386692899</v>
      </c>
      <c r="AN72" s="20" t="s">
        <v>58</v>
      </c>
    </row>
    <row r="73" spans="1:40" x14ac:dyDescent="0.25">
      <c r="A73" s="20">
        <v>71</v>
      </c>
      <c r="B73" s="20" t="s">
        <v>137</v>
      </c>
      <c r="C73" s="20" t="s">
        <v>63</v>
      </c>
      <c r="D73">
        <v>0</v>
      </c>
      <c r="E73" s="20" t="str">
        <f t="shared" si="1"/>
        <v>HORI</v>
      </c>
      <c r="F73" s="20">
        <v>31.9681</v>
      </c>
      <c r="G73" s="20">
        <v>130.38749999999999</v>
      </c>
      <c r="H73" s="20">
        <v>7.6</v>
      </c>
      <c r="I73" s="20">
        <v>6.1</v>
      </c>
      <c r="J73" s="20">
        <v>280</v>
      </c>
      <c r="K73" s="20">
        <v>90</v>
      </c>
      <c r="L73" s="20">
        <v>0</v>
      </c>
      <c r="M73" s="20">
        <v>1.1000000000000001</v>
      </c>
      <c r="N73" s="20">
        <v>15</v>
      </c>
      <c r="O73" s="20">
        <v>10</v>
      </c>
      <c r="P73" s="20">
        <v>1</v>
      </c>
      <c r="Q73" s="20">
        <v>1</v>
      </c>
      <c r="R73">
        <v>15</v>
      </c>
      <c r="S73">
        <v>10</v>
      </c>
      <c r="T73">
        <v>33.913333333333298</v>
      </c>
      <c r="U73">
        <v>14</v>
      </c>
      <c r="V73">
        <v>10</v>
      </c>
      <c r="W73">
        <v>36.335714285714303</v>
      </c>
      <c r="X73">
        <v>21.097541173641702</v>
      </c>
      <c r="Y73" s="20" t="s">
        <v>57</v>
      </c>
      <c r="Z73" s="28">
        <v>41</v>
      </c>
      <c r="AA73">
        <v>26</v>
      </c>
      <c r="AB73">
        <v>67</v>
      </c>
      <c r="AC73">
        <v>1.58113883008419</v>
      </c>
      <c r="AD73">
        <v>0.70710678118654802</v>
      </c>
      <c r="AE73">
        <v>0.70710678118654802</v>
      </c>
      <c r="AF73">
        <v>14.999999966114199</v>
      </c>
      <c r="AG73">
        <v>9.9999996889048308</v>
      </c>
      <c r="AH73">
        <v>3.9510458193933502</v>
      </c>
      <c r="AI73">
        <v>3.3572021237595702</v>
      </c>
      <c r="AJ73">
        <v>2.2985892494065099</v>
      </c>
      <c r="AK73">
        <v>2.25772703754313</v>
      </c>
      <c r="AL73" s="20">
        <v>2.9009570920646199</v>
      </c>
      <c r="AM73" s="20">
        <v>2.0836787948241899</v>
      </c>
      <c r="AN73" s="20" t="s">
        <v>58</v>
      </c>
    </row>
    <row r="74" spans="1:40" x14ac:dyDescent="0.25">
      <c r="A74" s="20">
        <v>72</v>
      </c>
      <c r="B74" s="20" t="s">
        <v>138</v>
      </c>
      <c r="C74" s="20" t="s">
        <v>63</v>
      </c>
      <c r="D74">
        <v>0</v>
      </c>
      <c r="E74" s="20" t="str">
        <f t="shared" si="1"/>
        <v>HORI</v>
      </c>
      <c r="F74" s="20">
        <v>31.952000000000002</v>
      </c>
      <c r="G74" s="20">
        <v>130.34</v>
      </c>
      <c r="H74" s="20">
        <v>7.7</v>
      </c>
      <c r="I74" s="20">
        <v>6.01</v>
      </c>
      <c r="J74" s="20">
        <v>280</v>
      </c>
      <c r="K74" s="20">
        <v>90</v>
      </c>
      <c r="L74" s="20">
        <v>0</v>
      </c>
      <c r="M74" s="20">
        <v>1.2</v>
      </c>
      <c r="N74" s="20">
        <v>17</v>
      </c>
      <c r="O74" s="20">
        <v>10</v>
      </c>
      <c r="P74" s="20">
        <v>1</v>
      </c>
      <c r="Q74" s="20">
        <v>1</v>
      </c>
      <c r="R74">
        <v>17</v>
      </c>
      <c r="S74">
        <v>10</v>
      </c>
      <c r="T74">
        <v>20.8058823529412</v>
      </c>
      <c r="U74">
        <v>17</v>
      </c>
      <c r="V74">
        <v>10</v>
      </c>
      <c r="W74">
        <v>20.8058823529412</v>
      </c>
      <c r="X74">
        <v>7.5582918602066096</v>
      </c>
      <c r="Y74" s="20" t="s">
        <v>57</v>
      </c>
      <c r="Z74">
        <v>100</v>
      </c>
      <c r="AA74">
        <v>34</v>
      </c>
      <c r="AB74">
        <v>134</v>
      </c>
      <c r="AC74">
        <v>5.7008771254956896</v>
      </c>
      <c r="AD74">
        <v>0.70710678118654802</v>
      </c>
      <c r="AE74">
        <v>0.70710678118654802</v>
      </c>
      <c r="AF74">
        <v>14.2333528392231</v>
      </c>
      <c r="AG74">
        <v>9.9999992932763604</v>
      </c>
      <c r="AH74">
        <v>3.2010983319125201</v>
      </c>
      <c r="AI74">
        <v>3.36701051402324</v>
      </c>
      <c r="AJ74">
        <v>2.2022354675534399</v>
      </c>
      <c r="AK74">
        <v>2.23083020325952</v>
      </c>
      <c r="AL74" s="20">
        <v>2.6875330881683999</v>
      </c>
      <c r="AM74" s="20">
        <v>1.55983132741973</v>
      </c>
      <c r="AN74" s="20" t="s">
        <v>58</v>
      </c>
    </row>
    <row r="75" spans="1:40" x14ac:dyDescent="0.25">
      <c r="A75" s="20">
        <v>73</v>
      </c>
      <c r="B75" s="20" t="s">
        <v>139</v>
      </c>
      <c r="C75" s="20" t="s">
        <v>56</v>
      </c>
      <c r="D75">
        <v>0</v>
      </c>
      <c r="E75" s="20" t="str">
        <f t="shared" si="1"/>
        <v>IDEx</v>
      </c>
      <c r="F75" s="20">
        <v>34.441000000000003</v>
      </c>
      <c r="G75" s="20">
        <v>131.67599999999999</v>
      </c>
      <c r="H75" s="20">
        <v>7.5</v>
      </c>
      <c r="I75" s="20">
        <v>5.81</v>
      </c>
      <c r="J75" s="20">
        <v>235</v>
      </c>
      <c r="K75" s="20">
        <v>86</v>
      </c>
      <c r="L75" s="20">
        <v>-178</v>
      </c>
      <c r="M75" s="20">
        <v>0.1</v>
      </c>
      <c r="N75" s="20">
        <v>17</v>
      </c>
      <c r="O75" s="20">
        <v>13</v>
      </c>
      <c r="P75" s="20">
        <v>1</v>
      </c>
      <c r="Q75" s="20">
        <v>1</v>
      </c>
      <c r="R75">
        <v>16</v>
      </c>
      <c r="S75">
        <v>12</v>
      </c>
      <c r="T75">
        <v>9.2484393167420809</v>
      </c>
      <c r="U75">
        <v>9</v>
      </c>
      <c r="V75">
        <v>11</v>
      </c>
      <c r="W75">
        <v>20.6455059494949</v>
      </c>
      <c r="X75">
        <v>13.7777767722752</v>
      </c>
      <c r="Y75" s="20" t="s">
        <v>57</v>
      </c>
      <c r="Z75">
        <v>55</v>
      </c>
      <c r="AA75">
        <v>13</v>
      </c>
      <c r="AB75">
        <v>68</v>
      </c>
      <c r="AC75">
        <v>3.16227766016838</v>
      </c>
      <c r="AD75">
        <v>1</v>
      </c>
      <c r="AE75">
        <v>0</v>
      </c>
      <c r="AF75">
        <v>4.3056767501539301</v>
      </c>
      <c r="AG75">
        <v>5.5641731118954096</v>
      </c>
      <c r="AH75">
        <v>6.4225601168899003</v>
      </c>
      <c r="AI75">
        <v>8.6640870503744392</v>
      </c>
      <c r="AJ75">
        <v>1.7688743117949799</v>
      </c>
      <c r="AK75">
        <v>1.8981365060233799</v>
      </c>
      <c r="AL75" s="20">
        <v>1.65137880875346</v>
      </c>
      <c r="AM75" s="20">
        <v>1.6184220772097699</v>
      </c>
      <c r="AN75" s="20" t="s">
        <v>58</v>
      </c>
    </row>
    <row r="76" spans="1:40" x14ac:dyDescent="0.25">
      <c r="A76" s="20">
        <v>74</v>
      </c>
      <c r="B76" s="20" t="s">
        <v>140</v>
      </c>
      <c r="C76" s="20" t="s">
        <v>63</v>
      </c>
      <c r="D76">
        <v>0</v>
      </c>
      <c r="E76" s="20" t="str">
        <f t="shared" si="1"/>
        <v>ANTO</v>
      </c>
      <c r="F76" s="20">
        <v>-62.86</v>
      </c>
      <c r="G76" s="20">
        <v>149.74</v>
      </c>
      <c r="H76" s="20">
        <v>12</v>
      </c>
      <c r="I76" s="20">
        <v>7.98</v>
      </c>
      <c r="J76" s="20">
        <v>91</v>
      </c>
      <c r="K76" s="20">
        <v>88</v>
      </c>
      <c r="L76" s="20">
        <v>1</v>
      </c>
      <c r="M76" s="20">
        <v>0.01</v>
      </c>
      <c r="N76" s="20">
        <v>61</v>
      </c>
      <c r="O76" s="20">
        <v>7</v>
      </c>
      <c r="P76" s="20">
        <v>5</v>
      </c>
      <c r="Q76" s="20">
        <v>5</v>
      </c>
      <c r="R76">
        <v>305</v>
      </c>
      <c r="S76">
        <v>35</v>
      </c>
      <c r="T76">
        <v>298.26073481264598</v>
      </c>
      <c r="U76">
        <v>200</v>
      </c>
      <c r="V76">
        <v>35</v>
      </c>
      <c r="W76">
        <v>454.84762058928601</v>
      </c>
      <c r="X76">
        <v>660.95465848716697</v>
      </c>
      <c r="Y76" s="20" t="s">
        <v>57</v>
      </c>
      <c r="Z76" s="28">
        <v>300</v>
      </c>
      <c r="AA76">
        <v>175</v>
      </c>
      <c r="AB76">
        <v>475</v>
      </c>
      <c r="AC76">
        <v>267.419146659322</v>
      </c>
      <c r="AD76">
        <v>22.090722034374501</v>
      </c>
      <c r="AE76">
        <v>27.892651361962699</v>
      </c>
      <c r="AF76">
        <v>40.721295839115598</v>
      </c>
      <c r="AG76">
        <v>11.095020790950199</v>
      </c>
      <c r="AH76">
        <v>32.1980124844766</v>
      </c>
      <c r="AI76">
        <v>10.041814104299601</v>
      </c>
      <c r="AJ76">
        <v>10.3379921804222</v>
      </c>
      <c r="AK76">
        <v>8.5193665659583893</v>
      </c>
      <c r="AL76" s="20">
        <v>40.675992305658603</v>
      </c>
      <c r="AM76" s="20">
        <v>40.2321431855177</v>
      </c>
      <c r="AN76" s="20" t="s">
        <v>58</v>
      </c>
    </row>
    <row r="77" spans="1:40" x14ac:dyDescent="0.25">
      <c r="A77" s="20">
        <v>75</v>
      </c>
      <c r="B77" s="20" t="s">
        <v>141</v>
      </c>
      <c r="C77" s="20" t="s">
        <v>56</v>
      </c>
      <c r="D77">
        <v>0</v>
      </c>
      <c r="E77" s="20" t="str">
        <f t="shared" si="1"/>
        <v>ANTO</v>
      </c>
      <c r="F77" s="20">
        <v>-62.86</v>
      </c>
      <c r="G77" s="20">
        <v>149.74</v>
      </c>
      <c r="H77" s="20">
        <v>12</v>
      </c>
      <c r="I77" s="20">
        <v>7.76</v>
      </c>
      <c r="J77" s="20">
        <v>295</v>
      </c>
      <c r="K77" s="20">
        <v>27</v>
      </c>
      <c r="L77" s="20">
        <v>-42</v>
      </c>
      <c r="M77" s="20">
        <v>0.01</v>
      </c>
      <c r="N77" s="20">
        <v>18</v>
      </c>
      <c r="O77" s="20">
        <v>12</v>
      </c>
      <c r="P77" s="20">
        <v>5</v>
      </c>
      <c r="Q77" s="20">
        <v>5</v>
      </c>
      <c r="R77">
        <v>90</v>
      </c>
      <c r="S77">
        <v>60</v>
      </c>
      <c r="T77">
        <v>282.60942556944502</v>
      </c>
      <c r="U77">
        <v>75</v>
      </c>
      <c r="V77">
        <v>45</v>
      </c>
      <c r="W77">
        <v>452.17508091111102</v>
      </c>
      <c r="X77">
        <v>501.67614425877503</v>
      </c>
      <c r="Y77" s="20" t="s">
        <v>57</v>
      </c>
      <c r="Z77" s="28">
        <v>550</v>
      </c>
      <c r="AA77">
        <v>150</v>
      </c>
      <c r="AB77">
        <v>700</v>
      </c>
      <c r="AC77">
        <v>81.320354155647905</v>
      </c>
      <c r="AD77">
        <v>28.071337695236402</v>
      </c>
      <c r="AE77">
        <v>38.639358172723298</v>
      </c>
      <c r="AF77">
        <v>38.4053893068509</v>
      </c>
      <c r="AG77">
        <v>10.091171230780899</v>
      </c>
      <c r="AH77">
        <v>28.389873686839199</v>
      </c>
      <c r="AI77">
        <v>9.0187885465533508</v>
      </c>
      <c r="AJ77">
        <v>10.305070288441099</v>
      </c>
      <c r="AK77">
        <v>8.3639017496250503</v>
      </c>
      <c r="AL77" s="20">
        <v>49.5049857405292</v>
      </c>
      <c r="AM77" s="20">
        <v>49.990976656292702</v>
      </c>
      <c r="AN77" s="20" t="s">
        <v>58</v>
      </c>
    </row>
    <row r="78" spans="1:40" x14ac:dyDescent="0.25">
      <c r="A78" s="20">
        <v>76</v>
      </c>
      <c r="B78" s="20" t="s">
        <v>142</v>
      </c>
      <c r="C78" s="20" t="s">
        <v>56</v>
      </c>
      <c r="D78">
        <v>1</v>
      </c>
      <c r="E78" s="20" t="str">
        <f t="shared" si="1"/>
        <v>HAYE</v>
      </c>
      <c r="F78" s="20">
        <v>-2.0699999999999998</v>
      </c>
      <c r="G78" s="20">
        <v>124.89</v>
      </c>
      <c r="H78" s="20">
        <v>16</v>
      </c>
      <c r="I78" s="20">
        <v>7.69</v>
      </c>
      <c r="J78" s="20">
        <v>196</v>
      </c>
      <c r="K78" s="20">
        <v>65</v>
      </c>
      <c r="L78" s="20">
        <v>-152.59917342233899</v>
      </c>
      <c r="M78" s="20">
        <v>0.13</v>
      </c>
      <c r="N78" s="20">
        <v>21</v>
      </c>
      <c r="O78" s="20">
        <v>9</v>
      </c>
      <c r="P78" s="20">
        <v>8</v>
      </c>
      <c r="Q78" s="20">
        <v>5</v>
      </c>
      <c r="R78" s="25">
        <v>168</v>
      </c>
      <c r="S78" s="25">
        <v>45</v>
      </c>
      <c r="T78" s="25">
        <v>139.76417989417999</v>
      </c>
      <c r="U78" s="25">
        <v>112</v>
      </c>
      <c r="V78" s="25">
        <v>45</v>
      </c>
      <c r="W78" s="25">
        <v>209.64626984127</v>
      </c>
      <c r="X78" s="25">
        <v>223.53152526528299</v>
      </c>
      <c r="Y78" s="20" t="s">
        <v>102</v>
      </c>
      <c r="Z78" s="29">
        <v>840</v>
      </c>
      <c r="AA78" s="25">
        <v>360</v>
      </c>
      <c r="AB78" s="25">
        <v>1200</v>
      </c>
      <c r="AC78" s="25">
        <v>54.865745233250998</v>
      </c>
      <c r="AD78" s="25">
        <v>4.7169905660282998</v>
      </c>
      <c r="AE78" s="25">
        <v>12.2576506721313</v>
      </c>
      <c r="AF78" s="25">
        <v>56.229673090945198</v>
      </c>
      <c r="AG78" s="25">
        <v>32.966353836530999</v>
      </c>
      <c r="AH78" s="25">
        <v>18.069380022061502</v>
      </c>
      <c r="AI78" s="25">
        <v>11.0334532154431</v>
      </c>
      <c r="AJ78" s="25">
        <v>16.131585619002699</v>
      </c>
      <c r="AK78" s="25">
        <v>10.166368670973</v>
      </c>
      <c r="AL78" s="20">
        <v>30.103187092565499</v>
      </c>
      <c r="AM78" s="20">
        <v>20.140856888424601</v>
      </c>
      <c r="AN78" s="20" t="s">
        <v>58</v>
      </c>
    </row>
    <row r="79" spans="1:40" x14ac:dyDescent="0.25">
      <c r="A79" s="20">
        <v>77</v>
      </c>
      <c r="B79" s="20" t="s">
        <v>143</v>
      </c>
      <c r="C79" s="20" t="s">
        <v>56</v>
      </c>
      <c r="D79">
        <v>0</v>
      </c>
      <c r="E79" s="20" t="str">
        <f t="shared" si="1"/>
        <v>NAKA</v>
      </c>
      <c r="F79" s="20">
        <v>39.813200000000002</v>
      </c>
      <c r="G79" s="20">
        <v>140.89660000000001</v>
      </c>
      <c r="H79" s="20">
        <v>3</v>
      </c>
      <c r="I79" s="20">
        <v>6.3</v>
      </c>
      <c r="J79" s="20">
        <v>216</v>
      </c>
      <c r="K79" s="20">
        <v>41</v>
      </c>
      <c r="L79" s="20">
        <v>131</v>
      </c>
      <c r="M79" s="20">
        <v>0.05</v>
      </c>
      <c r="N79" s="20">
        <v>10</v>
      </c>
      <c r="O79" s="20">
        <v>10</v>
      </c>
      <c r="P79" s="20">
        <v>1</v>
      </c>
      <c r="Q79" s="20">
        <v>1</v>
      </c>
      <c r="R79">
        <v>10</v>
      </c>
      <c r="S79">
        <v>10</v>
      </c>
      <c r="T79">
        <v>39.479999999999997</v>
      </c>
      <c r="U79">
        <v>10</v>
      </c>
      <c r="V79">
        <v>8</v>
      </c>
      <c r="W79">
        <v>49.35</v>
      </c>
      <c r="X79">
        <v>37.644540398227598</v>
      </c>
      <c r="Y79" s="20" t="s">
        <v>69</v>
      </c>
      <c r="Z79">
        <v>19</v>
      </c>
      <c r="AA79">
        <v>14</v>
      </c>
      <c r="AB79">
        <v>33</v>
      </c>
      <c r="AC79">
        <v>1.1180339887499</v>
      </c>
      <c r="AD79">
        <v>0.5</v>
      </c>
      <c r="AE79">
        <v>1.5</v>
      </c>
      <c r="AF79">
        <v>9.9999999999999805</v>
      </c>
      <c r="AG79">
        <v>4.7474465351122701</v>
      </c>
      <c r="AH79">
        <v>4.7964120428761303</v>
      </c>
      <c r="AI79">
        <v>1.0675195434287399</v>
      </c>
      <c r="AJ79">
        <v>2.4704844844301102</v>
      </c>
      <c r="AK79">
        <v>1.9447912886776699</v>
      </c>
      <c r="AL79" s="20">
        <v>3.5025232790090102</v>
      </c>
      <c r="AM79" s="20">
        <v>2.8487098220071498</v>
      </c>
      <c r="AN79" s="20" t="s">
        <v>58</v>
      </c>
    </row>
    <row r="80" spans="1:40" x14ac:dyDescent="0.25">
      <c r="A80" s="20">
        <v>78</v>
      </c>
      <c r="B80" s="20" t="s">
        <v>144</v>
      </c>
      <c r="C80" s="20" t="s">
        <v>56</v>
      </c>
      <c r="D80">
        <v>0</v>
      </c>
      <c r="E80" s="20" t="str">
        <f t="shared" si="1"/>
        <v>WANG</v>
      </c>
      <c r="F80" s="20">
        <v>30.134534668192199</v>
      </c>
      <c r="G80" s="20">
        <v>88.309966590388996</v>
      </c>
      <c r="H80" s="20">
        <v>8.25</v>
      </c>
      <c r="I80" s="20">
        <v>6.16</v>
      </c>
      <c r="J80" s="20">
        <v>7.30000000000011</v>
      </c>
      <c r="K80" s="20">
        <v>46.300000000000097</v>
      </c>
      <c r="L80" s="20">
        <v>-44.910800000000002</v>
      </c>
      <c r="M80" s="20">
        <v>0</v>
      </c>
      <c r="N80" s="20">
        <v>38</v>
      </c>
      <c r="O80" s="20">
        <v>23</v>
      </c>
      <c r="P80" s="20">
        <v>1</v>
      </c>
      <c r="Q80" s="20">
        <v>1</v>
      </c>
      <c r="R80">
        <v>38</v>
      </c>
      <c r="S80">
        <v>23</v>
      </c>
      <c r="T80">
        <v>6.7786414360623297</v>
      </c>
      <c r="U80">
        <v>34</v>
      </c>
      <c r="V80">
        <v>21</v>
      </c>
      <c r="W80">
        <v>8.2976647270566808</v>
      </c>
      <c r="X80">
        <v>5.15299144280376</v>
      </c>
      <c r="Y80" s="20" t="s">
        <v>110</v>
      </c>
      <c r="Z80">
        <v>232</v>
      </c>
      <c r="AA80">
        <v>145</v>
      </c>
      <c r="AB80">
        <v>377</v>
      </c>
      <c r="AC80">
        <v>13.1244047484067</v>
      </c>
      <c r="AD80">
        <v>1.5</v>
      </c>
      <c r="AE80">
        <v>0.5</v>
      </c>
      <c r="AF80">
        <v>37.999999999998302</v>
      </c>
      <c r="AG80">
        <v>22.999999999999801</v>
      </c>
      <c r="AH80">
        <v>6.7530557988252102</v>
      </c>
      <c r="AI80">
        <v>8.2794283664645594</v>
      </c>
      <c r="AJ80">
        <v>2.5841606365071801</v>
      </c>
      <c r="AK80">
        <v>2.6526151111273202</v>
      </c>
      <c r="AL80" s="20">
        <v>2.3986303800294002</v>
      </c>
      <c r="AM80" s="20">
        <v>1.2321073086383301</v>
      </c>
      <c r="AN80" s="20" t="s">
        <v>58</v>
      </c>
    </row>
    <row r="81" spans="1:40" x14ac:dyDescent="0.25">
      <c r="A81" s="20">
        <v>79</v>
      </c>
      <c r="B81" s="20" t="s">
        <v>145</v>
      </c>
      <c r="C81" s="20" t="s">
        <v>61</v>
      </c>
      <c r="D81">
        <v>0</v>
      </c>
      <c r="E81" s="20" t="str">
        <f t="shared" si="1"/>
        <v>MAxx</v>
      </c>
      <c r="F81" s="20">
        <v>23.5</v>
      </c>
      <c r="G81" s="20">
        <v>120.66</v>
      </c>
      <c r="H81" s="20">
        <v>6.02</v>
      </c>
      <c r="I81" s="20">
        <v>5.84</v>
      </c>
      <c r="J81" s="20">
        <v>45</v>
      </c>
      <c r="K81" s="20">
        <v>50</v>
      </c>
      <c r="L81" s="20">
        <v>110</v>
      </c>
      <c r="M81" s="20">
        <v>2.19</v>
      </c>
      <c r="N81" s="20">
        <v>25</v>
      </c>
      <c r="O81" s="20">
        <v>29</v>
      </c>
      <c r="P81" s="20">
        <v>0.5</v>
      </c>
      <c r="Q81" s="20">
        <v>0.5</v>
      </c>
      <c r="R81">
        <v>12.5</v>
      </c>
      <c r="S81">
        <v>14.5</v>
      </c>
      <c r="T81">
        <v>13.528</v>
      </c>
      <c r="U81">
        <v>11</v>
      </c>
      <c r="V81">
        <v>7.5</v>
      </c>
      <c r="W81">
        <v>29.720606060606102</v>
      </c>
      <c r="X81">
        <v>76.150592310823598</v>
      </c>
      <c r="Y81" s="20" t="s">
        <v>57</v>
      </c>
      <c r="Z81">
        <v>5</v>
      </c>
      <c r="AA81">
        <v>1.5</v>
      </c>
      <c r="AB81">
        <v>6.5</v>
      </c>
      <c r="AC81">
        <v>1.58113883008419</v>
      </c>
      <c r="AD81">
        <v>0</v>
      </c>
      <c r="AE81">
        <v>0.70710678118654802</v>
      </c>
      <c r="AF81">
        <v>1.06323631154763</v>
      </c>
      <c r="AG81">
        <v>0.90599122725111503</v>
      </c>
      <c r="AH81">
        <v>2.5141512272941502</v>
      </c>
      <c r="AI81">
        <v>1.97325098715825</v>
      </c>
      <c r="AJ81">
        <v>0.73121220396060405</v>
      </c>
      <c r="AK81">
        <v>0.70757515194712495</v>
      </c>
      <c r="AL81" s="20">
        <v>1.11880333392424</v>
      </c>
      <c r="AM81" s="20">
        <v>1.1804260247893601</v>
      </c>
      <c r="AN81" s="20" t="s">
        <v>58</v>
      </c>
    </row>
    <row r="82" spans="1:40" x14ac:dyDescent="0.25">
      <c r="A82" s="20">
        <v>80</v>
      </c>
      <c r="B82" s="20" t="s">
        <v>146</v>
      </c>
      <c r="C82" s="20" t="s">
        <v>61</v>
      </c>
      <c r="D82">
        <v>0</v>
      </c>
      <c r="E82" s="20" t="str">
        <f t="shared" si="1"/>
        <v>CHIx</v>
      </c>
      <c r="F82" s="20">
        <v>23.869</v>
      </c>
      <c r="G82" s="20">
        <v>120.84</v>
      </c>
      <c r="H82" s="20">
        <v>8</v>
      </c>
      <c r="I82" s="20">
        <v>7.68</v>
      </c>
      <c r="J82" s="20">
        <v>5</v>
      </c>
      <c r="K82" s="20">
        <v>30</v>
      </c>
      <c r="L82" s="20">
        <v>61.568879835216997</v>
      </c>
      <c r="M82" s="20">
        <v>0.9</v>
      </c>
      <c r="N82" s="20">
        <v>32</v>
      </c>
      <c r="O82" s="20">
        <v>13</v>
      </c>
      <c r="P82" s="20">
        <v>3.5</v>
      </c>
      <c r="Q82" s="20">
        <v>3.5</v>
      </c>
      <c r="R82">
        <v>112</v>
      </c>
      <c r="S82">
        <v>45.5</v>
      </c>
      <c r="T82">
        <v>274.33181771403298</v>
      </c>
      <c r="U82">
        <v>98</v>
      </c>
      <c r="V82">
        <v>35</v>
      </c>
      <c r="W82">
        <v>407.57870060370601</v>
      </c>
      <c r="X82">
        <v>357.32758026615801</v>
      </c>
      <c r="Y82" s="20" t="s">
        <v>57</v>
      </c>
      <c r="Z82">
        <v>220.5</v>
      </c>
      <c r="AA82">
        <v>24.5</v>
      </c>
      <c r="AB82">
        <v>245</v>
      </c>
      <c r="AC82">
        <v>59.179810746571299</v>
      </c>
      <c r="AD82">
        <v>3.8078865529319499</v>
      </c>
      <c r="AE82">
        <v>46.381569615527198</v>
      </c>
      <c r="AF82">
        <v>18.514048814061798</v>
      </c>
      <c r="AG82">
        <v>12.6063007265462</v>
      </c>
      <c r="AH82">
        <v>64.291633973889105</v>
      </c>
      <c r="AI82">
        <v>35.326576954127603</v>
      </c>
      <c r="AJ82">
        <v>6.5926675644850103</v>
      </c>
      <c r="AK82">
        <v>5.92073346922193</v>
      </c>
      <c r="AL82" s="20">
        <v>50.293070571302401</v>
      </c>
      <c r="AM82" s="20">
        <v>47.988828814214699</v>
      </c>
      <c r="AN82" s="20" t="s">
        <v>58</v>
      </c>
    </row>
    <row r="83" spans="1:40" x14ac:dyDescent="0.25">
      <c r="A83" s="20">
        <v>81</v>
      </c>
      <c r="B83" s="20" t="s">
        <v>147</v>
      </c>
      <c r="C83" s="20" t="s">
        <v>61</v>
      </c>
      <c r="D83">
        <v>0</v>
      </c>
      <c r="E83" s="20" t="str">
        <f t="shared" si="1"/>
        <v>HAYE</v>
      </c>
      <c r="F83" s="20">
        <v>23.834</v>
      </c>
      <c r="G83" s="20">
        <v>120.813</v>
      </c>
      <c r="H83" s="20">
        <v>10</v>
      </c>
      <c r="I83" s="20">
        <v>7.58</v>
      </c>
      <c r="J83" s="20">
        <v>3</v>
      </c>
      <c r="K83" s="20">
        <v>30</v>
      </c>
      <c r="L83" s="20">
        <v>60.5292744111022</v>
      </c>
      <c r="M83" s="20">
        <v>0.11</v>
      </c>
      <c r="N83" s="20">
        <v>18</v>
      </c>
      <c r="O83" s="20">
        <v>9</v>
      </c>
      <c r="P83" s="20">
        <v>8</v>
      </c>
      <c r="Q83" s="20">
        <v>5.65</v>
      </c>
      <c r="R83" s="25">
        <v>144</v>
      </c>
      <c r="S83" s="25">
        <v>50.85</v>
      </c>
      <c r="T83" s="25">
        <v>163.08320987654301</v>
      </c>
      <c r="U83" s="25">
        <v>128</v>
      </c>
      <c r="V83" s="25">
        <v>50.85</v>
      </c>
      <c r="W83" s="25">
        <v>183.46861111111099</v>
      </c>
      <c r="X83" s="25">
        <v>156.97954595619299</v>
      </c>
      <c r="Y83" s="20" t="s">
        <v>102</v>
      </c>
      <c r="Z83" s="25">
        <v>1491.6</v>
      </c>
      <c r="AA83" s="25">
        <v>904</v>
      </c>
      <c r="AB83" s="25">
        <v>2395.6</v>
      </c>
      <c r="AC83" s="25">
        <v>25.7377276580509</v>
      </c>
      <c r="AD83" s="25">
        <v>4.8970016336529802</v>
      </c>
      <c r="AE83" s="25">
        <v>4.8970016336529802</v>
      </c>
      <c r="AF83" s="25">
        <v>66.631807952802703</v>
      </c>
      <c r="AG83" s="25">
        <v>31.3191771436924</v>
      </c>
      <c r="AH83" s="25">
        <v>19.842614597789499</v>
      </c>
      <c r="AI83" s="25">
        <v>11.486462798850701</v>
      </c>
      <c r="AJ83" s="25">
        <v>16.658349616383099</v>
      </c>
      <c r="AK83" s="25">
        <v>11.073862327611799</v>
      </c>
      <c r="AL83" s="20">
        <v>27.4777970732735</v>
      </c>
      <c r="AM83" s="20">
        <v>24.396412706994401</v>
      </c>
      <c r="AN83" s="20" t="s">
        <v>58</v>
      </c>
    </row>
    <row r="84" spans="1:40" x14ac:dyDescent="0.25">
      <c r="A84" s="20">
        <v>82</v>
      </c>
      <c r="B84" s="20" t="s">
        <v>148</v>
      </c>
      <c r="C84" s="20" t="s">
        <v>61</v>
      </c>
      <c r="D84">
        <v>0</v>
      </c>
      <c r="E84" s="20" t="str">
        <f t="shared" si="1"/>
        <v>JOHN</v>
      </c>
      <c r="F84" s="20">
        <v>23.869</v>
      </c>
      <c r="G84" s="20">
        <v>120.84</v>
      </c>
      <c r="H84" s="20">
        <v>8.8000000000000007</v>
      </c>
      <c r="I84" s="20">
        <v>7.58</v>
      </c>
      <c r="J84" s="20">
        <v>5</v>
      </c>
      <c r="K84" s="20">
        <v>23</v>
      </c>
      <c r="L84" s="20">
        <v>55</v>
      </c>
      <c r="M84" s="20">
        <v>0.01</v>
      </c>
      <c r="N84" s="20">
        <v>23</v>
      </c>
      <c r="O84" s="20">
        <v>6</v>
      </c>
      <c r="P84" s="20">
        <v>4.5034782608695698</v>
      </c>
      <c r="Q84" s="20">
        <v>5</v>
      </c>
      <c r="R84">
        <v>103.58</v>
      </c>
      <c r="S84">
        <v>30</v>
      </c>
      <c r="T84">
        <v>335.38080598814099</v>
      </c>
      <c r="U84">
        <v>90.0695652173913</v>
      </c>
      <c r="V84">
        <v>30</v>
      </c>
      <c r="W84">
        <v>385.68792688636199</v>
      </c>
      <c r="X84">
        <v>316.37389111618103</v>
      </c>
      <c r="Y84" s="20" t="s">
        <v>92</v>
      </c>
      <c r="Z84">
        <v>923.21304347826106</v>
      </c>
      <c r="AA84">
        <v>405.31304347826102</v>
      </c>
      <c r="AB84">
        <v>1328.52608695652</v>
      </c>
      <c r="AC84">
        <v>51.257933618028098</v>
      </c>
      <c r="AD84">
        <v>2.22434782608696</v>
      </c>
      <c r="AE84">
        <v>16.510099446790498</v>
      </c>
      <c r="AF84">
        <v>26.931506657350599</v>
      </c>
      <c r="AG84">
        <v>21.7429414255277</v>
      </c>
      <c r="AH84">
        <v>19.592806476749999</v>
      </c>
      <c r="AI84">
        <v>17.019762045668401</v>
      </c>
      <c r="AJ84">
        <v>8.5788444405426194</v>
      </c>
      <c r="AK84">
        <v>9.30836812815709</v>
      </c>
      <c r="AL84" s="20">
        <v>30.809776294954201</v>
      </c>
      <c r="AM84" s="20">
        <v>30.4490310449231</v>
      </c>
      <c r="AN84" s="20" t="s">
        <v>58</v>
      </c>
    </row>
    <row r="85" spans="1:40" x14ac:dyDescent="0.25">
      <c r="A85" s="20">
        <v>83</v>
      </c>
      <c r="B85" s="20" t="s">
        <v>149</v>
      </c>
      <c r="C85" s="20" t="s">
        <v>61</v>
      </c>
      <c r="D85">
        <v>0</v>
      </c>
      <c r="E85" s="20" t="str">
        <f t="shared" si="1"/>
        <v>MAxx</v>
      </c>
      <c r="F85" s="20">
        <v>23.869</v>
      </c>
      <c r="G85" s="20">
        <v>120.84</v>
      </c>
      <c r="H85" s="20">
        <v>7</v>
      </c>
      <c r="I85" s="20">
        <v>7.69</v>
      </c>
      <c r="J85" s="20">
        <v>5</v>
      </c>
      <c r="K85" s="20">
        <v>30</v>
      </c>
      <c r="L85" s="20">
        <v>55.1676680212354</v>
      </c>
      <c r="M85" s="20">
        <v>0.01</v>
      </c>
      <c r="N85" s="20">
        <v>20</v>
      </c>
      <c r="O85" s="20">
        <v>9</v>
      </c>
      <c r="P85" s="20">
        <v>5</v>
      </c>
      <c r="Q85" s="20">
        <v>5</v>
      </c>
      <c r="R85">
        <v>100</v>
      </c>
      <c r="S85">
        <v>45</v>
      </c>
      <c r="T85">
        <v>360.140588888889</v>
      </c>
      <c r="U85">
        <v>85</v>
      </c>
      <c r="V85">
        <v>45</v>
      </c>
      <c r="W85">
        <v>423.69481045751598</v>
      </c>
      <c r="X85">
        <v>404.89215869062201</v>
      </c>
      <c r="Y85" s="20" t="s">
        <v>57</v>
      </c>
      <c r="Z85" s="28">
        <v>1100</v>
      </c>
      <c r="AA85">
        <v>275</v>
      </c>
      <c r="AB85">
        <v>1375</v>
      </c>
      <c r="AC85">
        <v>57.987067523716</v>
      </c>
      <c r="AD85">
        <v>3.53553390593274</v>
      </c>
      <c r="AE85">
        <v>19.0394327646598</v>
      </c>
      <c r="AF85">
        <v>20.737045117833802</v>
      </c>
      <c r="AG85">
        <v>22.3538370138929</v>
      </c>
      <c r="AH85">
        <v>18.246684836163102</v>
      </c>
      <c r="AI85">
        <v>19.617760543360099</v>
      </c>
      <c r="AJ85">
        <v>8.9321925299206004</v>
      </c>
      <c r="AK85">
        <v>9.2958132412926204</v>
      </c>
      <c r="AL85" s="20">
        <v>58.1506683253942</v>
      </c>
      <c r="AM85" s="20">
        <v>32.234009013152601</v>
      </c>
      <c r="AN85" s="20" t="s">
        <v>58</v>
      </c>
    </row>
    <row r="86" spans="1:40" x14ac:dyDescent="0.25">
      <c r="A86" s="20">
        <v>84</v>
      </c>
      <c r="B86" s="20" t="s">
        <v>150</v>
      </c>
      <c r="C86" s="20" t="s">
        <v>61</v>
      </c>
      <c r="D86">
        <v>0</v>
      </c>
      <c r="E86" s="20" t="str">
        <f t="shared" si="1"/>
        <v>SEKI</v>
      </c>
      <c r="F86" s="20">
        <v>23.869</v>
      </c>
      <c r="G86" s="20">
        <v>120.84</v>
      </c>
      <c r="H86" s="20">
        <v>7</v>
      </c>
      <c r="I86" s="20">
        <v>7.63</v>
      </c>
      <c r="J86" s="20">
        <v>5</v>
      </c>
      <c r="K86" s="20">
        <v>30</v>
      </c>
      <c r="L86" s="20">
        <v>70.679081978057695</v>
      </c>
      <c r="M86" s="20">
        <v>0.01</v>
      </c>
      <c r="N86" s="20">
        <v>26</v>
      </c>
      <c r="O86" s="20">
        <v>13</v>
      </c>
      <c r="P86" s="20">
        <v>3</v>
      </c>
      <c r="Q86" s="20">
        <v>3</v>
      </c>
      <c r="R86">
        <v>78</v>
      </c>
      <c r="S86">
        <v>39</v>
      </c>
      <c r="T86">
        <v>375.40355691340397</v>
      </c>
      <c r="U86">
        <v>78</v>
      </c>
      <c r="V86">
        <v>39</v>
      </c>
      <c r="W86">
        <v>375.40355691340397</v>
      </c>
      <c r="X86">
        <v>226.53592469184801</v>
      </c>
      <c r="Y86" s="20" t="s">
        <v>76</v>
      </c>
      <c r="Z86">
        <v>1053</v>
      </c>
      <c r="AA86">
        <v>162</v>
      </c>
      <c r="AB86">
        <v>1215</v>
      </c>
      <c r="AC86">
        <v>56.731825283521403</v>
      </c>
      <c r="AD86">
        <v>1.58113883008419</v>
      </c>
      <c r="AE86">
        <v>12.3490890352285</v>
      </c>
      <c r="AF86">
        <v>23.349676722053498</v>
      </c>
      <c r="AG86">
        <v>20.018315730816099</v>
      </c>
      <c r="AH86">
        <v>45.912853521511899</v>
      </c>
      <c r="AI86">
        <v>37.088629353219801</v>
      </c>
      <c r="AJ86">
        <v>5.9796795619229304</v>
      </c>
      <c r="AK86">
        <v>5.8077872661678196</v>
      </c>
      <c r="AL86" s="20">
        <v>27.571070747615199</v>
      </c>
      <c r="AM86" s="20">
        <v>48.7472005661864</v>
      </c>
      <c r="AN86" s="20" t="s">
        <v>58</v>
      </c>
    </row>
    <row r="87" spans="1:40" x14ac:dyDescent="0.25">
      <c r="A87" s="20">
        <v>85</v>
      </c>
      <c r="B87" s="20" t="s">
        <v>151</v>
      </c>
      <c r="C87" s="20" t="s">
        <v>61</v>
      </c>
      <c r="D87">
        <v>0</v>
      </c>
      <c r="E87" s="20" t="str">
        <f t="shared" si="1"/>
        <v>WUxx</v>
      </c>
      <c r="F87" s="20">
        <v>23.869</v>
      </c>
      <c r="G87" s="20">
        <v>120.84</v>
      </c>
      <c r="H87" s="20">
        <v>6.9</v>
      </c>
      <c r="I87" s="20">
        <v>7.67</v>
      </c>
      <c r="J87" s="20">
        <v>5</v>
      </c>
      <c r="K87" s="20">
        <v>30</v>
      </c>
      <c r="L87" s="20">
        <v>111.491328613319</v>
      </c>
      <c r="M87" s="20">
        <v>0.01</v>
      </c>
      <c r="N87" s="20">
        <v>85</v>
      </c>
      <c r="O87" s="20">
        <v>49</v>
      </c>
      <c r="P87" s="20">
        <v>1</v>
      </c>
      <c r="Q87" s="20">
        <v>1</v>
      </c>
      <c r="R87">
        <v>85</v>
      </c>
      <c r="S87">
        <v>49</v>
      </c>
      <c r="T87">
        <v>306.49920052515</v>
      </c>
      <c r="U87">
        <v>62</v>
      </c>
      <c r="V87">
        <v>35</v>
      </c>
      <c r="W87">
        <v>588.28072358859401</v>
      </c>
      <c r="X87">
        <v>463.35980202102502</v>
      </c>
      <c r="Y87" s="20" t="s">
        <v>57</v>
      </c>
      <c r="Z87">
        <v>339</v>
      </c>
      <c r="AA87">
        <v>26</v>
      </c>
      <c r="AB87">
        <v>365</v>
      </c>
      <c r="AC87">
        <v>40.871750635371598</v>
      </c>
      <c r="AD87">
        <v>7.7781745930520199</v>
      </c>
      <c r="AE87">
        <v>34.820970692960302</v>
      </c>
      <c r="AF87">
        <v>84.999998799448505</v>
      </c>
      <c r="AG87">
        <v>48.9999943256609</v>
      </c>
      <c r="AH87">
        <v>9.8900200670739995</v>
      </c>
      <c r="AI87">
        <v>9.2251729232075999</v>
      </c>
      <c r="AJ87">
        <v>2.69496243669892</v>
      </c>
      <c r="AK87">
        <v>2.7163782693130298</v>
      </c>
      <c r="AL87" s="20">
        <v>39.336274027924901</v>
      </c>
      <c r="AM87" s="20">
        <v>31.5563490228195</v>
      </c>
      <c r="AN87" s="20" t="s">
        <v>58</v>
      </c>
    </row>
    <row r="88" spans="1:40" x14ac:dyDescent="0.25">
      <c r="A88" s="20">
        <v>86</v>
      </c>
      <c r="B88" s="20" t="s">
        <v>152</v>
      </c>
      <c r="C88" s="20" t="s">
        <v>61</v>
      </c>
      <c r="D88">
        <v>0</v>
      </c>
      <c r="E88" s="20" t="str">
        <f t="shared" si="1"/>
        <v>ZENG</v>
      </c>
      <c r="F88" s="20">
        <v>23.869</v>
      </c>
      <c r="G88" s="20">
        <v>120.84</v>
      </c>
      <c r="H88" s="20">
        <v>6.8</v>
      </c>
      <c r="I88" s="20">
        <v>7.61</v>
      </c>
      <c r="J88" s="20">
        <v>5</v>
      </c>
      <c r="K88" s="20">
        <v>27.5</v>
      </c>
      <c r="L88" s="20">
        <v>39.871025806175297</v>
      </c>
      <c r="M88" s="20">
        <v>0.01</v>
      </c>
      <c r="N88" s="20">
        <v>168</v>
      </c>
      <c r="O88" s="20">
        <v>84</v>
      </c>
      <c r="P88" s="20">
        <v>0.5</v>
      </c>
      <c r="Q88" s="20">
        <v>0.5</v>
      </c>
      <c r="R88">
        <v>84</v>
      </c>
      <c r="S88">
        <v>42</v>
      </c>
      <c r="T88">
        <v>301.98373589852599</v>
      </c>
      <c r="U88">
        <v>84</v>
      </c>
      <c r="V88">
        <v>42</v>
      </c>
      <c r="W88">
        <v>301.98373589852901</v>
      </c>
      <c r="X88">
        <v>95.620314776145705</v>
      </c>
      <c r="Y88" s="20" t="s">
        <v>102</v>
      </c>
      <c r="Z88">
        <v>2965.25</v>
      </c>
      <c r="AA88">
        <v>292.5</v>
      </c>
      <c r="AB88">
        <v>3257.75</v>
      </c>
      <c r="AC88">
        <v>42.428528138506103</v>
      </c>
      <c r="AD88">
        <v>0.28284271247461801</v>
      </c>
      <c r="AE88">
        <v>10.6831643252362</v>
      </c>
      <c r="AF88">
        <v>83.999988644309596</v>
      </c>
      <c r="AG88">
        <v>41.999999982374199</v>
      </c>
      <c r="AH88">
        <v>21.831312122236898</v>
      </c>
      <c r="AI88">
        <v>20.368910458254401</v>
      </c>
      <c r="AJ88">
        <v>1.4087898599763899</v>
      </c>
      <c r="AK88">
        <v>1.4013377804646701</v>
      </c>
      <c r="AL88" s="20">
        <v>38.611763037965503</v>
      </c>
      <c r="AM88" s="20">
        <v>17.7388235968454</v>
      </c>
      <c r="AN88" s="20" t="s">
        <v>58</v>
      </c>
    </row>
    <row r="89" spans="1:40" x14ac:dyDescent="0.25">
      <c r="A89" s="20">
        <v>87</v>
      </c>
      <c r="B89" s="20" t="s">
        <v>153</v>
      </c>
      <c r="C89" s="20" t="s">
        <v>61</v>
      </c>
      <c r="D89">
        <v>0</v>
      </c>
      <c r="E89" s="20" t="str">
        <f t="shared" si="1"/>
        <v>MAxx</v>
      </c>
      <c r="F89" s="20">
        <v>23.869</v>
      </c>
      <c r="G89" s="20">
        <v>120.84</v>
      </c>
      <c r="H89" s="20">
        <v>7</v>
      </c>
      <c r="I89" s="20">
        <v>7.69</v>
      </c>
      <c r="J89" s="20">
        <v>5</v>
      </c>
      <c r="K89" s="20">
        <v>30</v>
      </c>
      <c r="L89" s="20">
        <v>64.927348582424003</v>
      </c>
      <c r="M89" s="20">
        <v>0.01</v>
      </c>
      <c r="N89" s="20">
        <v>21</v>
      </c>
      <c r="O89" s="20">
        <v>8</v>
      </c>
      <c r="P89" s="20">
        <v>5</v>
      </c>
      <c r="Q89" s="20">
        <v>5</v>
      </c>
      <c r="R89">
        <v>105</v>
      </c>
      <c r="S89">
        <v>40</v>
      </c>
      <c r="T89">
        <v>361.48763952831501</v>
      </c>
      <c r="U89">
        <v>80</v>
      </c>
      <c r="V89">
        <v>40</v>
      </c>
      <c r="W89">
        <v>474.45252688091398</v>
      </c>
      <c r="X89">
        <v>449.29723480706002</v>
      </c>
      <c r="Y89" s="20" t="s">
        <v>57</v>
      </c>
      <c r="Z89">
        <v>875</v>
      </c>
      <c r="AA89">
        <v>150</v>
      </c>
      <c r="AB89">
        <v>1025</v>
      </c>
      <c r="AC89">
        <v>53.967582862307303</v>
      </c>
      <c r="AD89">
        <v>3.53553390593274</v>
      </c>
      <c r="AE89">
        <v>3.53553390593274</v>
      </c>
      <c r="AF89">
        <v>19.482430310178501</v>
      </c>
      <c r="AG89">
        <v>17.5349181175071</v>
      </c>
      <c r="AH89">
        <v>32.727168737153498</v>
      </c>
      <c r="AI89">
        <v>28.587470006356401</v>
      </c>
      <c r="AJ89">
        <v>8.6479085739292696</v>
      </c>
      <c r="AK89">
        <v>8.6137886788302591</v>
      </c>
      <c r="AL89" s="20">
        <v>36.678407457930902</v>
      </c>
      <c r="AM89" s="20">
        <v>29.167940090448599</v>
      </c>
      <c r="AN89" s="20" t="s">
        <v>58</v>
      </c>
    </row>
    <row r="90" spans="1:40" x14ac:dyDescent="0.25">
      <c r="A90" s="20">
        <v>88</v>
      </c>
      <c r="B90" s="20" t="s">
        <v>154</v>
      </c>
      <c r="C90" s="20" t="s">
        <v>56</v>
      </c>
      <c r="D90">
        <v>0</v>
      </c>
      <c r="E90" s="20" t="str">
        <f t="shared" si="1"/>
        <v>BIRG</v>
      </c>
      <c r="F90" s="20">
        <v>40.76</v>
      </c>
      <c r="G90" s="20">
        <v>31.16</v>
      </c>
      <c r="H90" s="20">
        <v>10</v>
      </c>
      <c r="I90" s="20">
        <v>6.71</v>
      </c>
      <c r="J90" s="20">
        <v>265</v>
      </c>
      <c r="K90" s="20">
        <v>65</v>
      </c>
      <c r="L90" s="20">
        <v>-168</v>
      </c>
      <c r="M90" s="20">
        <v>0.01</v>
      </c>
      <c r="N90" s="20">
        <v>13</v>
      </c>
      <c r="O90" s="20">
        <v>4</v>
      </c>
      <c r="P90" s="20">
        <v>3.15</v>
      </c>
      <c r="Q90" s="20">
        <v>3.15</v>
      </c>
      <c r="R90">
        <v>40.950000000000003</v>
      </c>
      <c r="S90">
        <v>12.6</v>
      </c>
      <c r="T90">
        <v>93.382884615384597</v>
      </c>
      <c r="U90">
        <v>34.65</v>
      </c>
      <c r="V90">
        <v>12.6</v>
      </c>
      <c r="W90">
        <v>110.36159090909101</v>
      </c>
      <c r="X90">
        <v>122.04315159835799</v>
      </c>
      <c r="Y90" s="20" t="s">
        <v>155</v>
      </c>
      <c r="Z90">
        <v>59.534999999999997</v>
      </c>
      <c r="AA90">
        <v>29.767499999999998</v>
      </c>
      <c r="AB90">
        <v>89.302499999999995</v>
      </c>
      <c r="AC90">
        <v>6.6821590822128698</v>
      </c>
      <c r="AD90">
        <v>2.2273863607376199</v>
      </c>
      <c r="AE90">
        <v>2.2273863607376301</v>
      </c>
      <c r="AF90">
        <v>6.0316420692461401</v>
      </c>
      <c r="AG90">
        <v>4.4887666510867197</v>
      </c>
      <c r="AH90">
        <v>13.6654508215893</v>
      </c>
      <c r="AI90">
        <v>8.5910629073927005</v>
      </c>
      <c r="AJ90">
        <v>4.5906569186196604</v>
      </c>
      <c r="AK90">
        <v>4.23726107553051</v>
      </c>
      <c r="AL90" s="20">
        <v>2.9797347700760199</v>
      </c>
      <c r="AM90" s="20">
        <v>2.3222379744548101</v>
      </c>
      <c r="AN90" s="20" t="s">
        <v>58</v>
      </c>
    </row>
    <row r="91" spans="1:40" x14ac:dyDescent="0.25">
      <c r="A91" s="20">
        <v>89</v>
      </c>
      <c r="B91" s="20" t="s">
        <v>156</v>
      </c>
      <c r="C91" s="20" t="s">
        <v>63</v>
      </c>
      <c r="D91">
        <v>0</v>
      </c>
      <c r="E91" s="20" t="str">
        <f t="shared" si="1"/>
        <v>JIxx</v>
      </c>
      <c r="F91" s="20">
        <v>34.597000000000001</v>
      </c>
      <c r="G91" s="20">
        <v>-116.27</v>
      </c>
      <c r="H91" s="20">
        <v>15</v>
      </c>
      <c r="I91" s="20">
        <v>7.17</v>
      </c>
      <c r="J91" s="20">
        <v>334.75</v>
      </c>
      <c r="K91" s="20">
        <v>80</v>
      </c>
      <c r="L91" s="20">
        <v>173.89386548685701</v>
      </c>
      <c r="M91" s="20">
        <v>0.01</v>
      </c>
      <c r="N91" s="20">
        <v>18</v>
      </c>
      <c r="O91" s="20">
        <v>6</v>
      </c>
      <c r="P91" s="20">
        <v>3</v>
      </c>
      <c r="Q91" s="20">
        <v>2.66</v>
      </c>
      <c r="R91">
        <v>54</v>
      </c>
      <c r="S91">
        <v>16</v>
      </c>
      <c r="T91">
        <v>235.111111111111</v>
      </c>
      <c r="U91">
        <v>45</v>
      </c>
      <c r="V91">
        <v>15.96</v>
      </c>
      <c r="W91">
        <v>282.13333333333298</v>
      </c>
      <c r="X91">
        <v>237.454959815439</v>
      </c>
      <c r="Y91" s="20" t="s">
        <v>57</v>
      </c>
      <c r="Z91">
        <v>215.46</v>
      </c>
      <c r="AA91">
        <v>111.72</v>
      </c>
      <c r="AB91">
        <v>327.18</v>
      </c>
      <c r="AC91">
        <v>26.745870709326301</v>
      </c>
      <c r="AD91">
        <v>4.4221714123267599</v>
      </c>
      <c r="AE91">
        <v>6.1282623964709604</v>
      </c>
      <c r="AF91">
        <v>16.326245214163102</v>
      </c>
      <c r="AG91">
        <v>15.2720558914181</v>
      </c>
      <c r="AH91">
        <v>7.9178469114648502</v>
      </c>
      <c r="AI91">
        <v>7.3976147133366101</v>
      </c>
      <c r="AJ91">
        <v>5.6295436199396596</v>
      </c>
      <c r="AK91">
        <v>5.2667375145134399</v>
      </c>
      <c r="AL91" s="20">
        <v>9.0577670934949506</v>
      </c>
      <c r="AM91" s="20">
        <v>9.3128001900609902</v>
      </c>
      <c r="AN91" s="20" t="s">
        <v>58</v>
      </c>
    </row>
    <row r="92" spans="1:40" x14ac:dyDescent="0.25">
      <c r="A92" s="20">
        <v>90</v>
      </c>
      <c r="B92" s="20" t="s">
        <v>157</v>
      </c>
      <c r="C92" s="20" t="s">
        <v>63</v>
      </c>
      <c r="D92">
        <v>0</v>
      </c>
      <c r="E92" s="20" t="str">
        <f t="shared" si="1"/>
        <v>JONS</v>
      </c>
      <c r="F92" s="20">
        <v>34.590000000000003</v>
      </c>
      <c r="G92" s="20">
        <v>-116.27</v>
      </c>
      <c r="H92" s="20">
        <v>15</v>
      </c>
      <c r="I92" s="20">
        <v>7.16</v>
      </c>
      <c r="J92" s="20">
        <v>330</v>
      </c>
      <c r="K92" s="20">
        <v>83</v>
      </c>
      <c r="L92" s="20">
        <v>17.923078880675199</v>
      </c>
      <c r="M92" s="20">
        <v>0.01</v>
      </c>
      <c r="N92" s="20">
        <v>40</v>
      </c>
      <c r="O92" s="20">
        <v>14</v>
      </c>
      <c r="P92" s="20">
        <v>1.5</v>
      </c>
      <c r="Q92" s="20">
        <v>1.5</v>
      </c>
      <c r="R92">
        <v>60</v>
      </c>
      <c r="S92">
        <v>21</v>
      </c>
      <c r="T92">
        <v>153.79276097881601</v>
      </c>
      <c r="U92">
        <v>39</v>
      </c>
      <c r="V92">
        <v>16.5</v>
      </c>
      <c r="W92">
        <v>301.13267883963999</v>
      </c>
      <c r="X92">
        <v>213.18365999265501</v>
      </c>
      <c r="Y92" s="20" t="s">
        <v>92</v>
      </c>
      <c r="Z92">
        <v>180</v>
      </c>
      <c r="AA92">
        <v>101.25</v>
      </c>
      <c r="AB92">
        <v>281.25</v>
      </c>
      <c r="AC92">
        <v>32.897568299192002</v>
      </c>
      <c r="AD92">
        <v>3.3541019662496798</v>
      </c>
      <c r="AE92">
        <v>0</v>
      </c>
      <c r="AF92">
        <v>49.135728038718398</v>
      </c>
      <c r="AG92">
        <v>8.6134799815724605</v>
      </c>
      <c r="AH92">
        <v>8.2238779958135506</v>
      </c>
      <c r="AI92">
        <v>4.7148813971683801</v>
      </c>
      <c r="AJ92">
        <v>3.6722256846986001</v>
      </c>
      <c r="AK92">
        <v>3.3838654899445202</v>
      </c>
      <c r="AL92" s="20">
        <v>2.0185657333859601</v>
      </c>
      <c r="AM92" s="20">
        <v>4.6499006795844604</v>
      </c>
      <c r="AN92" s="20" t="s">
        <v>58</v>
      </c>
    </row>
    <row r="93" spans="1:40" x14ac:dyDescent="0.25">
      <c r="A93" s="20">
        <v>91</v>
      </c>
      <c r="B93" s="20" t="s">
        <v>158</v>
      </c>
      <c r="C93" s="20" t="s">
        <v>63</v>
      </c>
      <c r="D93">
        <v>0</v>
      </c>
      <c r="E93" s="20" t="str">
        <f t="shared" si="1"/>
        <v>KAVE</v>
      </c>
      <c r="F93" s="20">
        <v>34.590000000000003</v>
      </c>
      <c r="G93" s="20">
        <v>-116.27</v>
      </c>
      <c r="H93" s="20">
        <v>6</v>
      </c>
      <c r="I93" s="20">
        <v>7.24</v>
      </c>
      <c r="J93" s="20">
        <v>333</v>
      </c>
      <c r="K93" s="20">
        <v>77</v>
      </c>
      <c r="L93" s="20">
        <v>180</v>
      </c>
      <c r="M93" s="20">
        <v>0.15</v>
      </c>
      <c r="N93" s="20">
        <v>34</v>
      </c>
      <c r="O93" s="20">
        <v>12</v>
      </c>
      <c r="P93" s="20">
        <v>2</v>
      </c>
      <c r="Q93" s="20">
        <v>2</v>
      </c>
      <c r="R93">
        <v>68</v>
      </c>
      <c r="S93">
        <v>24</v>
      </c>
      <c r="T93">
        <v>137.23039215686299</v>
      </c>
      <c r="U93">
        <v>68</v>
      </c>
      <c r="V93">
        <v>24</v>
      </c>
      <c r="W93">
        <v>137.23039215686299</v>
      </c>
      <c r="X93">
        <v>158.953505967328</v>
      </c>
      <c r="Y93" s="20" t="s">
        <v>57</v>
      </c>
      <c r="Z93">
        <v>216</v>
      </c>
      <c r="AA93">
        <v>140</v>
      </c>
      <c r="AB93">
        <v>356</v>
      </c>
      <c r="AC93">
        <v>54.405882034941797</v>
      </c>
      <c r="AD93">
        <v>0</v>
      </c>
      <c r="AE93">
        <v>0</v>
      </c>
      <c r="AF93">
        <v>17.005933202336401</v>
      </c>
      <c r="AG93">
        <v>10.5074448461139</v>
      </c>
      <c r="AH93">
        <v>17.064726515411799</v>
      </c>
      <c r="AI93">
        <v>10.536648589480601</v>
      </c>
      <c r="AJ93">
        <v>4.0800853963963801</v>
      </c>
      <c r="AK93">
        <v>3.7855917661641798</v>
      </c>
      <c r="AL93" s="20">
        <v>3.8089855132305201</v>
      </c>
      <c r="AM93" s="20">
        <v>2.6345779510198599</v>
      </c>
      <c r="AN93" s="20" t="s">
        <v>58</v>
      </c>
    </row>
    <row r="94" spans="1:40" x14ac:dyDescent="0.25">
      <c r="A94" s="20">
        <v>92</v>
      </c>
      <c r="B94" s="20" t="s">
        <v>159</v>
      </c>
      <c r="C94" s="20" t="s">
        <v>63</v>
      </c>
      <c r="D94">
        <v>0</v>
      </c>
      <c r="E94" s="20" t="str">
        <f t="shared" si="1"/>
        <v>SALI</v>
      </c>
      <c r="F94" s="20">
        <v>34.590000000000003</v>
      </c>
      <c r="G94" s="20">
        <v>-116.27</v>
      </c>
      <c r="H94" s="20">
        <v>7.5</v>
      </c>
      <c r="I94" s="20">
        <v>7.14</v>
      </c>
      <c r="J94" s="20">
        <v>330</v>
      </c>
      <c r="K94" s="20">
        <v>80</v>
      </c>
      <c r="L94" s="20">
        <v>178.621458038165</v>
      </c>
      <c r="M94" s="20">
        <v>0.01</v>
      </c>
      <c r="N94" s="20">
        <v>18</v>
      </c>
      <c r="O94" s="20">
        <v>6</v>
      </c>
      <c r="P94" s="20">
        <v>3</v>
      </c>
      <c r="Q94" s="20">
        <v>3</v>
      </c>
      <c r="R94">
        <v>54</v>
      </c>
      <c r="S94">
        <v>18</v>
      </c>
      <c r="T94">
        <v>181.45666712963001</v>
      </c>
      <c r="U94">
        <v>45</v>
      </c>
      <c r="V94">
        <v>18</v>
      </c>
      <c r="W94">
        <v>217.74800055555599</v>
      </c>
      <c r="X94">
        <v>209.53190182920301</v>
      </c>
      <c r="Y94" s="20" t="s">
        <v>57</v>
      </c>
      <c r="Z94">
        <v>162</v>
      </c>
      <c r="AA94">
        <v>27</v>
      </c>
      <c r="AB94">
        <v>189</v>
      </c>
      <c r="AC94">
        <v>30.777426793024802</v>
      </c>
      <c r="AD94">
        <v>1.5</v>
      </c>
      <c r="AE94">
        <v>1.5</v>
      </c>
      <c r="AF94">
        <v>12.6242859026778</v>
      </c>
      <c r="AG94">
        <v>7.72920646423559</v>
      </c>
      <c r="AH94">
        <v>18.592207205485401</v>
      </c>
      <c r="AI94">
        <v>9.9681123451527895</v>
      </c>
      <c r="AJ94">
        <v>5.21400703901719</v>
      </c>
      <c r="AK94">
        <v>5.0639314168268497</v>
      </c>
      <c r="AL94" s="20">
        <v>5.1126499273859896</v>
      </c>
      <c r="AM94" s="20">
        <v>3.8139428587748898</v>
      </c>
      <c r="AN94" s="20" t="s">
        <v>58</v>
      </c>
    </row>
    <row r="95" spans="1:40" x14ac:dyDescent="0.25">
      <c r="A95" s="20">
        <v>93</v>
      </c>
      <c r="B95" s="20" t="s">
        <v>160</v>
      </c>
      <c r="C95" s="20" t="s">
        <v>63</v>
      </c>
      <c r="D95">
        <v>0</v>
      </c>
      <c r="E95" s="20" t="str">
        <f t="shared" si="1"/>
        <v>BOUC</v>
      </c>
      <c r="F95" s="20">
        <v>40.725000000000001</v>
      </c>
      <c r="G95" s="20">
        <v>29.986999999999998</v>
      </c>
      <c r="H95" s="20">
        <v>17</v>
      </c>
      <c r="I95" s="20">
        <v>7.59</v>
      </c>
      <c r="J95" s="20">
        <v>268</v>
      </c>
      <c r="K95" s="20">
        <v>90</v>
      </c>
      <c r="L95" s="20">
        <v>180</v>
      </c>
      <c r="M95" s="20">
        <v>0.01</v>
      </c>
      <c r="N95" s="20">
        <v>155</v>
      </c>
      <c r="O95" s="20">
        <v>18</v>
      </c>
      <c r="P95" s="20">
        <v>1</v>
      </c>
      <c r="Q95" s="20">
        <v>1</v>
      </c>
      <c r="R95">
        <v>155</v>
      </c>
      <c r="S95">
        <v>18</v>
      </c>
      <c r="T95">
        <v>285.16917562724001</v>
      </c>
      <c r="U95">
        <v>131</v>
      </c>
      <c r="V95">
        <v>18</v>
      </c>
      <c r="W95">
        <v>337.41391009329902</v>
      </c>
      <c r="X95">
        <v>146.87420138067799</v>
      </c>
      <c r="Y95" s="20" t="s">
        <v>155</v>
      </c>
      <c r="Z95">
        <v>1039</v>
      </c>
      <c r="AA95">
        <v>526</v>
      </c>
      <c r="AB95">
        <v>1565</v>
      </c>
      <c r="AC95">
        <v>85.019115497633805</v>
      </c>
      <c r="AD95">
        <v>3.3541019662496798</v>
      </c>
      <c r="AE95">
        <v>16.800297616411399</v>
      </c>
      <c r="AF95">
        <v>86.719831579065399</v>
      </c>
      <c r="AG95">
        <v>17.9999970702338</v>
      </c>
      <c r="AH95">
        <v>16.540382009132301</v>
      </c>
      <c r="AI95">
        <v>12.6863075660274</v>
      </c>
      <c r="AJ95">
        <v>2.6124726101899598</v>
      </c>
      <c r="AK95">
        <v>2.5705092634624198</v>
      </c>
      <c r="AL95" s="20">
        <v>38.318695734719398</v>
      </c>
      <c r="AM95" s="20">
        <v>25.514532096434799</v>
      </c>
      <c r="AN95" s="20" t="s">
        <v>58</v>
      </c>
    </row>
    <row r="96" spans="1:40" x14ac:dyDescent="0.25">
      <c r="A96" s="20">
        <v>94</v>
      </c>
      <c r="B96" s="20" t="s">
        <v>161</v>
      </c>
      <c r="C96" s="20" t="s">
        <v>63</v>
      </c>
      <c r="D96">
        <v>0</v>
      </c>
      <c r="E96" s="20" t="str">
        <f t="shared" si="1"/>
        <v>CAKI</v>
      </c>
      <c r="F96" s="20">
        <v>40.700000000000003</v>
      </c>
      <c r="G96" s="20">
        <v>29.91</v>
      </c>
      <c r="H96" s="20">
        <v>16</v>
      </c>
      <c r="I96" s="20">
        <v>7.47</v>
      </c>
      <c r="J96" s="20">
        <v>269</v>
      </c>
      <c r="K96" s="20">
        <v>89</v>
      </c>
      <c r="L96" s="20">
        <v>180</v>
      </c>
      <c r="M96" s="20">
        <v>0.01</v>
      </c>
      <c r="N96" s="20">
        <v>32</v>
      </c>
      <c r="O96" s="20">
        <v>7</v>
      </c>
      <c r="P96" s="20">
        <v>5</v>
      </c>
      <c r="Q96" s="20">
        <v>4</v>
      </c>
      <c r="R96">
        <v>160</v>
      </c>
      <c r="S96">
        <v>28</v>
      </c>
      <c r="T96">
        <v>130.1578386903</v>
      </c>
      <c r="U96">
        <v>140</v>
      </c>
      <c r="V96">
        <v>24</v>
      </c>
      <c r="W96">
        <v>173.54378492039899</v>
      </c>
      <c r="X96">
        <v>157.86424831004399</v>
      </c>
      <c r="Y96" s="20" t="s">
        <v>92</v>
      </c>
      <c r="Z96">
        <v>840</v>
      </c>
      <c r="AA96">
        <v>520</v>
      </c>
      <c r="AB96">
        <v>1360</v>
      </c>
      <c r="AC96">
        <v>47.927027865287002</v>
      </c>
      <c r="AD96">
        <v>1.4142135623731</v>
      </c>
      <c r="AE96">
        <v>4.1231056256176597</v>
      </c>
      <c r="AF96">
        <v>49.895822575374801</v>
      </c>
      <c r="AG96">
        <v>15.756610924262899</v>
      </c>
      <c r="AH96">
        <v>29.746773619889801</v>
      </c>
      <c r="AI96">
        <v>11.6661104609065</v>
      </c>
      <c r="AJ96">
        <v>10.538217324547199</v>
      </c>
      <c r="AK96">
        <v>7.5050363210690998</v>
      </c>
      <c r="AL96" s="20">
        <v>12.7314139799945</v>
      </c>
      <c r="AM96" s="20">
        <v>10.719864070500099</v>
      </c>
      <c r="AN96" s="20" t="s">
        <v>58</v>
      </c>
    </row>
    <row r="97" spans="1:40" x14ac:dyDescent="0.25">
      <c r="A97" s="20">
        <v>95</v>
      </c>
      <c r="B97" s="20" t="s">
        <v>162</v>
      </c>
      <c r="C97" s="20" t="s">
        <v>63</v>
      </c>
      <c r="D97">
        <v>0</v>
      </c>
      <c r="E97" s="20" t="str">
        <f t="shared" si="1"/>
        <v>DELO</v>
      </c>
      <c r="F97" s="20">
        <v>40.76</v>
      </c>
      <c r="G97" s="20">
        <v>29.97</v>
      </c>
      <c r="H97" s="20">
        <v>17</v>
      </c>
      <c r="I97" s="20">
        <v>7.56</v>
      </c>
      <c r="J97" s="20">
        <v>268</v>
      </c>
      <c r="K97" s="20">
        <v>85</v>
      </c>
      <c r="L97" s="20">
        <v>179.763891508608</v>
      </c>
      <c r="M97" s="20">
        <v>0.01</v>
      </c>
      <c r="N97" s="20">
        <v>23</v>
      </c>
      <c r="O97" s="20">
        <v>5</v>
      </c>
      <c r="P97" s="20">
        <v>7.5</v>
      </c>
      <c r="Q97" s="20">
        <v>4.5</v>
      </c>
      <c r="R97">
        <v>172.5</v>
      </c>
      <c r="S97">
        <v>22.5</v>
      </c>
      <c r="T97">
        <v>185.38260869565201</v>
      </c>
      <c r="U97">
        <v>157.5</v>
      </c>
      <c r="V97">
        <v>22.5</v>
      </c>
      <c r="W97">
        <v>203.038095238095</v>
      </c>
      <c r="X97">
        <v>234.920539394147</v>
      </c>
      <c r="Y97" s="20" t="s">
        <v>57</v>
      </c>
      <c r="Z97">
        <v>607.5</v>
      </c>
      <c r="AA97">
        <v>405</v>
      </c>
      <c r="AB97">
        <v>1012.5</v>
      </c>
      <c r="AC97">
        <v>0</v>
      </c>
      <c r="AD97">
        <v>4.3732139211339804</v>
      </c>
      <c r="AE97">
        <v>4.3732139211339804</v>
      </c>
      <c r="AF97">
        <v>23.597358667362499</v>
      </c>
      <c r="AG97">
        <v>11.4747263275436</v>
      </c>
      <c r="AH97">
        <v>52.896272307461999</v>
      </c>
      <c r="AI97">
        <v>22.4999951782439</v>
      </c>
      <c r="AJ97">
        <v>12.003950864836501</v>
      </c>
      <c r="AK97">
        <v>7.38449997678857</v>
      </c>
      <c r="AL97" s="20">
        <v>11.328001329890499</v>
      </c>
      <c r="AM97" s="20">
        <v>6.4476783426284596</v>
      </c>
      <c r="AN97" s="20" t="s">
        <v>58</v>
      </c>
    </row>
    <row r="98" spans="1:40" x14ac:dyDescent="0.25">
      <c r="A98" s="20">
        <v>96</v>
      </c>
      <c r="B98" s="20" t="s">
        <v>163</v>
      </c>
      <c r="C98" s="20" t="s">
        <v>63</v>
      </c>
      <c r="D98">
        <v>0</v>
      </c>
      <c r="E98" s="20" t="str">
        <f t="shared" si="1"/>
        <v>HAYE</v>
      </c>
      <c r="F98" s="20">
        <v>40.75</v>
      </c>
      <c r="G98" s="20">
        <v>29.86</v>
      </c>
      <c r="H98" s="20">
        <v>17</v>
      </c>
      <c r="I98" s="20">
        <v>7.53</v>
      </c>
      <c r="J98" s="20">
        <v>91</v>
      </c>
      <c r="K98" s="20">
        <v>87</v>
      </c>
      <c r="L98" s="20">
        <v>179.24857346620999</v>
      </c>
      <c r="M98" s="20">
        <v>0.22</v>
      </c>
      <c r="N98" s="20">
        <v>25</v>
      </c>
      <c r="O98" s="20">
        <v>7</v>
      </c>
      <c r="P98" s="20">
        <v>7</v>
      </c>
      <c r="Q98" s="20">
        <v>4.8</v>
      </c>
      <c r="R98" s="25">
        <v>175</v>
      </c>
      <c r="S98" s="25">
        <v>33.6</v>
      </c>
      <c r="T98" s="25">
        <v>125.656571428571</v>
      </c>
      <c r="U98" s="25">
        <v>119</v>
      </c>
      <c r="V98" s="25">
        <v>33.6</v>
      </c>
      <c r="W98" s="25">
        <v>184.789075630252</v>
      </c>
      <c r="X98" s="25">
        <v>210.68020112785999</v>
      </c>
      <c r="Y98" s="20" t="s">
        <v>102</v>
      </c>
      <c r="Z98" s="29">
        <v>537.6</v>
      </c>
      <c r="AA98" s="25">
        <v>403.2</v>
      </c>
      <c r="AB98" s="25">
        <v>940.8</v>
      </c>
      <c r="AC98" s="25">
        <v>10.770793842609701</v>
      </c>
      <c r="AD98" s="25">
        <v>4.2438190347845897</v>
      </c>
      <c r="AE98" s="25">
        <v>4.2438190347845897</v>
      </c>
      <c r="AF98" s="25">
        <v>52.221469659466997</v>
      </c>
      <c r="AG98" s="25">
        <v>26.194633290757999</v>
      </c>
      <c r="AH98" s="25">
        <v>16.113965221432299</v>
      </c>
      <c r="AI98" s="25">
        <v>9.6550420847666807</v>
      </c>
      <c r="AJ98" s="25">
        <v>14.1701172253797</v>
      </c>
      <c r="AK98" s="25">
        <v>9.6394619904965104</v>
      </c>
      <c r="AL98" s="20">
        <v>6.5816943418849201</v>
      </c>
      <c r="AM98" s="20">
        <v>4.4515287374114498</v>
      </c>
      <c r="AN98" s="20" t="s">
        <v>58</v>
      </c>
    </row>
    <row r="99" spans="1:40" x14ac:dyDescent="0.25">
      <c r="A99" s="20">
        <v>97</v>
      </c>
      <c r="B99" s="20" t="s">
        <v>164</v>
      </c>
      <c r="C99" s="20" t="s">
        <v>63</v>
      </c>
      <c r="D99">
        <v>0</v>
      </c>
      <c r="E99" s="20" t="str">
        <f t="shared" si="1"/>
        <v>REIL</v>
      </c>
      <c r="F99" s="20">
        <v>40.76</v>
      </c>
      <c r="G99" s="20">
        <v>29.97</v>
      </c>
      <c r="H99" s="20">
        <v>17</v>
      </c>
      <c r="I99" s="20">
        <v>7.42</v>
      </c>
      <c r="J99" s="20">
        <v>268</v>
      </c>
      <c r="K99" s="20">
        <v>90</v>
      </c>
      <c r="L99" s="20">
        <v>180</v>
      </c>
      <c r="M99" s="20">
        <v>0</v>
      </c>
      <c r="N99" s="20">
        <v>59</v>
      </c>
      <c r="O99" s="20">
        <v>7</v>
      </c>
      <c r="P99" s="20">
        <v>2.6</v>
      </c>
      <c r="Q99" s="20">
        <v>2.6</v>
      </c>
      <c r="R99">
        <v>153.4</v>
      </c>
      <c r="S99">
        <v>18.2</v>
      </c>
      <c r="T99">
        <v>180.473748479855</v>
      </c>
      <c r="U99">
        <v>132.6</v>
      </c>
      <c r="V99">
        <v>18.2</v>
      </c>
      <c r="W99">
        <v>208.78335608453801</v>
      </c>
      <c r="X99">
        <v>124.87507101214599</v>
      </c>
      <c r="Y99" s="20" t="s">
        <v>92</v>
      </c>
      <c r="Z99" s="28">
        <v>1054.56</v>
      </c>
      <c r="AA99">
        <v>250.12</v>
      </c>
      <c r="AB99">
        <v>1304.68</v>
      </c>
      <c r="AC99">
        <v>50.180673570608803</v>
      </c>
      <c r="AD99">
        <v>1.8384776310850099</v>
      </c>
      <c r="AE99">
        <v>9.1923881554251192</v>
      </c>
      <c r="AF99">
        <v>81.755128394010995</v>
      </c>
      <c r="AG99">
        <v>10.953689668168099</v>
      </c>
      <c r="AH99">
        <v>14.8799556644641</v>
      </c>
      <c r="AI99">
        <v>6.2824756780203401</v>
      </c>
      <c r="AJ99">
        <v>6.4788492211682298</v>
      </c>
      <c r="AK99">
        <v>5.6563675915748304</v>
      </c>
      <c r="AL99" s="20">
        <v>25.436674012142401</v>
      </c>
      <c r="AM99" s="20">
        <v>23.948673737808502</v>
      </c>
      <c r="AN99" s="20" t="s">
        <v>58</v>
      </c>
    </row>
    <row r="100" spans="1:40" x14ac:dyDescent="0.25">
      <c r="A100" s="20">
        <v>98</v>
      </c>
      <c r="B100" s="20" t="s">
        <v>165</v>
      </c>
      <c r="C100" s="20" t="s">
        <v>63</v>
      </c>
      <c r="D100">
        <v>0</v>
      </c>
      <c r="E100" s="20" t="str">
        <f t="shared" si="1"/>
        <v>SEKI</v>
      </c>
      <c r="F100" s="20">
        <v>40.71</v>
      </c>
      <c r="G100" s="20">
        <v>29.91</v>
      </c>
      <c r="H100" s="20">
        <v>17</v>
      </c>
      <c r="I100" s="20">
        <v>7.44</v>
      </c>
      <c r="J100" s="20">
        <v>82</v>
      </c>
      <c r="K100" s="20">
        <v>90</v>
      </c>
      <c r="L100" s="20">
        <v>75.575317624013493</v>
      </c>
      <c r="M100" s="20">
        <v>0.01</v>
      </c>
      <c r="N100" s="20">
        <v>47</v>
      </c>
      <c r="O100" s="20">
        <v>8</v>
      </c>
      <c r="P100" s="20">
        <v>3</v>
      </c>
      <c r="Q100" s="20">
        <v>2.91</v>
      </c>
      <c r="R100">
        <v>141</v>
      </c>
      <c r="S100">
        <v>23.3</v>
      </c>
      <c r="T100">
        <v>145.45617762770701</v>
      </c>
      <c r="U100">
        <v>108</v>
      </c>
      <c r="V100">
        <v>23.28</v>
      </c>
      <c r="W100">
        <v>189.901120791728</v>
      </c>
      <c r="X100">
        <v>151.00678150830601</v>
      </c>
      <c r="Y100" s="20" t="s">
        <v>76</v>
      </c>
      <c r="Z100">
        <v>357.93</v>
      </c>
      <c r="AA100">
        <v>69.84</v>
      </c>
      <c r="AB100">
        <v>427.77</v>
      </c>
      <c r="AC100">
        <v>34.2084258626438</v>
      </c>
      <c r="AD100">
        <v>2.0862646045025102</v>
      </c>
      <c r="AE100">
        <v>10.5996462205113</v>
      </c>
      <c r="AF100">
        <v>18.704830514003</v>
      </c>
      <c r="AG100">
        <v>14.138632068419801</v>
      </c>
      <c r="AH100">
        <v>33.323066724440501</v>
      </c>
      <c r="AI100">
        <v>23.299984781521498</v>
      </c>
      <c r="AJ100">
        <v>5.8180027071890796</v>
      </c>
      <c r="AK100">
        <v>5.2902078431634401</v>
      </c>
      <c r="AL100" s="20">
        <v>13.696853835096601</v>
      </c>
      <c r="AM100" s="20">
        <v>13.4111349545816</v>
      </c>
      <c r="AN100" s="20" t="s">
        <v>58</v>
      </c>
    </row>
    <row r="101" spans="1:40" x14ac:dyDescent="0.25">
      <c r="A101" s="20">
        <v>99</v>
      </c>
      <c r="B101" s="20" t="s">
        <v>166</v>
      </c>
      <c r="C101" s="20" t="s">
        <v>63</v>
      </c>
      <c r="D101">
        <v>0</v>
      </c>
      <c r="E101" s="20" t="str">
        <f t="shared" si="1"/>
        <v>YAGI</v>
      </c>
      <c r="F101" s="20">
        <v>40.700000000000003</v>
      </c>
      <c r="G101" s="20">
        <v>29.91</v>
      </c>
      <c r="H101" s="20">
        <v>16</v>
      </c>
      <c r="I101" s="20">
        <v>7.4</v>
      </c>
      <c r="J101" s="20">
        <v>268</v>
      </c>
      <c r="K101" s="20">
        <v>86</v>
      </c>
      <c r="L101" s="20">
        <v>180</v>
      </c>
      <c r="M101" s="20">
        <v>0.01</v>
      </c>
      <c r="N101" s="20">
        <v>24</v>
      </c>
      <c r="O101" s="20">
        <v>6</v>
      </c>
      <c r="P101" s="20">
        <v>3.9</v>
      </c>
      <c r="Q101" s="20">
        <v>3.6</v>
      </c>
      <c r="R101">
        <v>93.6</v>
      </c>
      <c r="S101">
        <v>21.6</v>
      </c>
      <c r="T101">
        <v>224.54506944444401</v>
      </c>
      <c r="U101">
        <v>81.900000000000006</v>
      </c>
      <c r="V101">
        <v>21.6</v>
      </c>
      <c r="W101">
        <v>256.62293650793703</v>
      </c>
      <c r="X101">
        <v>173.953317772075</v>
      </c>
      <c r="Y101" s="20" t="s">
        <v>57</v>
      </c>
      <c r="Z101" s="28">
        <v>547.55999999999995</v>
      </c>
      <c r="AA101">
        <v>351</v>
      </c>
      <c r="AB101">
        <v>898.56</v>
      </c>
      <c r="AC101">
        <v>62.587938135075198</v>
      </c>
      <c r="AD101" s="28">
        <v>1.89736659610102</v>
      </c>
      <c r="AE101">
        <v>1.89736659610102</v>
      </c>
      <c r="AF101">
        <v>68.295757759116697</v>
      </c>
      <c r="AG101">
        <v>9.4001499994306599</v>
      </c>
      <c r="AH101">
        <v>15.3135464073458</v>
      </c>
      <c r="AI101">
        <v>6.5534243522224003</v>
      </c>
      <c r="AJ101">
        <v>8.8797468780591799</v>
      </c>
      <c r="AK101">
        <v>7.39284036881517</v>
      </c>
      <c r="AL101" s="20">
        <v>10.451487676402801</v>
      </c>
      <c r="AM101" s="20">
        <v>10.5755149141779</v>
      </c>
      <c r="AN101" s="20" t="s">
        <v>58</v>
      </c>
    </row>
    <row r="102" spans="1:40" x14ac:dyDescent="0.25">
      <c r="A102" s="20">
        <v>100</v>
      </c>
      <c r="B102" s="20" t="s">
        <v>167</v>
      </c>
      <c r="C102" s="20" t="s">
        <v>80</v>
      </c>
      <c r="D102">
        <v>0</v>
      </c>
      <c r="E102" s="20" t="str">
        <f t="shared" si="1"/>
        <v>HERN</v>
      </c>
      <c r="F102" s="20">
        <v>16</v>
      </c>
      <c r="G102" s="20">
        <v>-97.02</v>
      </c>
      <c r="H102" s="20">
        <v>39.700000000000003</v>
      </c>
      <c r="I102" s="20">
        <v>7.47</v>
      </c>
      <c r="J102" s="20">
        <v>295</v>
      </c>
      <c r="K102" s="20">
        <v>50</v>
      </c>
      <c r="L102" s="20">
        <v>-86.941300815328702</v>
      </c>
      <c r="M102" s="20">
        <v>22.5</v>
      </c>
      <c r="N102" s="20">
        <v>12</v>
      </c>
      <c r="O102" s="20">
        <v>6</v>
      </c>
      <c r="P102" s="20">
        <v>7.5</v>
      </c>
      <c r="Q102" s="20">
        <v>7.5</v>
      </c>
      <c r="R102">
        <v>90</v>
      </c>
      <c r="S102">
        <v>45</v>
      </c>
      <c r="T102">
        <v>63.912174108569303</v>
      </c>
      <c r="U102">
        <v>82.5</v>
      </c>
      <c r="V102">
        <v>45</v>
      </c>
      <c r="W102">
        <v>69.722371754802893</v>
      </c>
      <c r="X102">
        <v>64.637136349777194</v>
      </c>
      <c r="Y102" s="20" t="s">
        <v>76</v>
      </c>
      <c r="Z102">
        <v>787.5</v>
      </c>
      <c r="AA102">
        <v>393.75</v>
      </c>
      <c r="AB102">
        <v>1181.25</v>
      </c>
      <c r="AC102">
        <v>47.434164902525701</v>
      </c>
      <c r="AD102">
        <v>0</v>
      </c>
      <c r="AE102">
        <v>15</v>
      </c>
      <c r="AF102">
        <v>18.0488201314162</v>
      </c>
      <c r="AG102">
        <v>16.709415377236802</v>
      </c>
      <c r="AH102">
        <v>45.192267481610003</v>
      </c>
      <c r="AI102">
        <v>37.612587815002897</v>
      </c>
      <c r="AJ102">
        <v>11.5780976523238</v>
      </c>
      <c r="AK102">
        <v>11.5658258094352</v>
      </c>
      <c r="AL102" s="20">
        <v>22.062337501044599</v>
      </c>
      <c r="AM102" s="20">
        <v>21.3618762144153</v>
      </c>
      <c r="AN102" s="20" t="s">
        <v>58</v>
      </c>
    </row>
    <row r="103" spans="1:40" x14ac:dyDescent="0.25">
      <c r="A103" s="20">
        <v>101</v>
      </c>
      <c r="B103" s="20" t="s">
        <v>168</v>
      </c>
      <c r="C103" s="20" t="s">
        <v>56</v>
      </c>
      <c r="D103">
        <v>0</v>
      </c>
      <c r="E103" s="20" t="str">
        <f t="shared" si="1"/>
        <v>SUDH</v>
      </c>
      <c r="F103" s="20">
        <v>63.903799999999997</v>
      </c>
      <c r="G103" s="20">
        <v>-21.9664</v>
      </c>
      <c r="H103" s="20">
        <v>4</v>
      </c>
      <c r="I103" s="20">
        <v>5.87</v>
      </c>
      <c r="J103" s="20">
        <v>4.7</v>
      </c>
      <c r="K103" s="20">
        <v>83</v>
      </c>
      <c r="L103" s="20">
        <v>-172.730400901313</v>
      </c>
      <c r="M103" s="20">
        <v>0</v>
      </c>
      <c r="N103" s="20">
        <v>10</v>
      </c>
      <c r="O103" s="20">
        <v>8</v>
      </c>
      <c r="P103" s="20">
        <v>1</v>
      </c>
      <c r="Q103" s="20">
        <v>1</v>
      </c>
      <c r="R103">
        <v>10</v>
      </c>
      <c r="S103">
        <v>8</v>
      </c>
      <c r="T103">
        <v>28.118606590157</v>
      </c>
      <c r="U103">
        <v>9</v>
      </c>
      <c r="V103">
        <v>8</v>
      </c>
      <c r="W103">
        <v>31.242896211285501</v>
      </c>
      <c r="X103">
        <v>26.660664432406499</v>
      </c>
      <c r="Y103" s="20" t="s">
        <v>110</v>
      </c>
      <c r="Z103">
        <v>12</v>
      </c>
      <c r="AA103">
        <v>14</v>
      </c>
      <c r="AB103">
        <v>26</v>
      </c>
      <c r="AC103">
        <v>5.0039984012787198</v>
      </c>
      <c r="AD103">
        <v>0.2</v>
      </c>
      <c r="AE103">
        <v>0.8</v>
      </c>
      <c r="AF103">
        <v>9.7690190456061394</v>
      </c>
      <c r="AG103">
        <v>1.8313874262107599</v>
      </c>
      <c r="AH103">
        <v>3.3893356135816801</v>
      </c>
      <c r="AI103">
        <v>1.34452107988503</v>
      </c>
      <c r="AJ103">
        <v>2.15679642830671</v>
      </c>
      <c r="AK103">
        <v>1.7703052879794201</v>
      </c>
      <c r="AL103" s="20">
        <v>2.9030428209036101</v>
      </c>
      <c r="AM103" s="20">
        <v>2.2743820017754302</v>
      </c>
      <c r="AN103" s="20" t="s">
        <v>58</v>
      </c>
    </row>
    <row r="104" spans="1:40" x14ac:dyDescent="0.25">
      <c r="A104" s="20">
        <v>102</v>
      </c>
      <c r="B104" s="20" t="s">
        <v>169</v>
      </c>
      <c r="C104" s="20" t="s">
        <v>63</v>
      </c>
      <c r="D104">
        <v>0</v>
      </c>
      <c r="E104" s="20" t="str">
        <f t="shared" si="1"/>
        <v>IWAT</v>
      </c>
      <c r="F104" s="20">
        <v>35.268999999999998</v>
      </c>
      <c r="G104" s="20">
        <v>133.357</v>
      </c>
      <c r="H104" s="20">
        <v>14</v>
      </c>
      <c r="I104" s="20">
        <v>6.86</v>
      </c>
      <c r="J104" s="20">
        <v>150</v>
      </c>
      <c r="K104" s="20">
        <v>90</v>
      </c>
      <c r="L104" s="20">
        <v>1.69867891618392</v>
      </c>
      <c r="M104" s="20">
        <v>0.1</v>
      </c>
      <c r="N104" s="20">
        <v>11</v>
      </c>
      <c r="O104" s="20">
        <v>7</v>
      </c>
      <c r="P104" s="20">
        <v>3</v>
      </c>
      <c r="Q104" s="20">
        <v>3</v>
      </c>
      <c r="R104">
        <v>33</v>
      </c>
      <c r="S104">
        <v>21</v>
      </c>
      <c r="T104">
        <v>84.562683108137705</v>
      </c>
      <c r="U104">
        <v>33</v>
      </c>
      <c r="V104">
        <v>21</v>
      </c>
      <c r="W104">
        <v>84.562683108137705</v>
      </c>
      <c r="X104">
        <v>72.274821013845695</v>
      </c>
      <c r="Y104" s="20" t="s">
        <v>76</v>
      </c>
      <c r="Z104">
        <v>90</v>
      </c>
      <c r="AA104">
        <v>45</v>
      </c>
      <c r="AB104">
        <v>135</v>
      </c>
      <c r="AC104">
        <v>11.2361025271221</v>
      </c>
      <c r="AD104">
        <v>4.9244289008980502</v>
      </c>
      <c r="AE104">
        <v>6.7268120235368603</v>
      </c>
      <c r="AF104">
        <v>11.3584432869143</v>
      </c>
      <c r="AG104">
        <v>6.8026249669197103</v>
      </c>
      <c r="AH104">
        <v>17.6211131176929</v>
      </c>
      <c r="AI104">
        <v>9.56407716429913</v>
      </c>
      <c r="AJ104">
        <v>5.2641858169540701</v>
      </c>
      <c r="AK104">
        <v>4.6412385495552302</v>
      </c>
      <c r="AL104" s="20">
        <v>9.4906673996089506</v>
      </c>
      <c r="AM104" s="20">
        <v>8.36051667841169</v>
      </c>
      <c r="AN104" s="20" t="s">
        <v>58</v>
      </c>
    </row>
    <row r="105" spans="1:40" x14ac:dyDescent="0.25">
      <c r="A105" s="20">
        <v>103</v>
      </c>
      <c r="B105" s="20" t="s">
        <v>170</v>
      </c>
      <c r="C105" s="20" t="s">
        <v>63</v>
      </c>
      <c r="D105">
        <v>0</v>
      </c>
      <c r="E105" s="20" t="str">
        <f t="shared" si="1"/>
        <v>PIAT</v>
      </c>
      <c r="F105" s="20">
        <v>35.274999999999999</v>
      </c>
      <c r="G105" s="20">
        <v>133.35</v>
      </c>
      <c r="H105" s="20">
        <v>12.5</v>
      </c>
      <c r="I105" s="20">
        <v>6.6</v>
      </c>
      <c r="J105" s="20">
        <v>150</v>
      </c>
      <c r="K105" s="20">
        <v>90</v>
      </c>
      <c r="L105" s="20">
        <v>-99</v>
      </c>
      <c r="M105" s="20">
        <v>2.5</v>
      </c>
      <c r="N105" s="20">
        <v>19</v>
      </c>
      <c r="O105" s="20">
        <v>9</v>
      </c>
      <c r="P105" s="20">
        <v>2</v>
      </c>
      <c r="Q105" s="20">
        <v>2</v>
      </c>
      <c r="R105">
        <v>38</v>
      </c>
      <c r="S105">
        <v>18</v>
      </c>
      <c r="T105">
        <v>132.82456140350899</v>
      </c>
      <c r="U105">
        <v>38</v>
      </c>
      <c r="V105">
        <v>18</v>
      </c>
      <c r="W105">
        <v>132.82456140350899</v>
      </c>
      <c r="X105">
        <v>66.626029926576706</v>
      </c>
      <c r="Y105" s="20" t="s">
        <v>69</v>
      </c>
      <c r="Z105">
        <v>260</v>
      </c>
      <c r="AA105">
        <v>68</v>
      </c>
      <c r="AB105">
        <v>328</v>
      </c>
      <c r="AC105">
        <v>21.400934559032699</v>
      </c>
      <c r="AD105">
        <v>3.16227766016838</v>
      </c>
      <c r="AE105">
        <v>7.0710678118654799</v>
      </c>
      <c r="AF105">
        <v>37.9999999813705</v>
      </c>
      <c r="AG105">
        <v>6.6986720798086798</v>
      </c>
      <c r="AH105">
        <v>9.1161165951479894</v>
      </c>
      <c r="AI105">
        <v>3.9384401598556602</v>
      </c>
      <c r="AJ105">
        <v>4.7658196682220204</v>
      </c>
      <c r="AK105">
        <v>4.2350762960972999</v>
      </c>
      <c r="AL105" s="20">
        <v>12.412408795233899</v>
      </c>
      <c r="AM105" s="20">
        <v>0.71117059837988195</v>
      </c>
      <c r="AN105" s="20" t="s">
        <v>58</v>
      </c>
    </row>
    <row r="106" spans="1:40" x14ac:dyDescent="0.25">
      <c r="A106" s="20">
        <v>104</v>
      </c>
      <c r="B106" s="20" t="s">
        <v>171</v>
      </c>
      <c r="C106" s="20" t="s">
        <v>63</v>
      </c>
      <c r="D106">
        <v>0</v>
      </c>
      <c r="E106" s="20" t="str">
        <f t="shared" si="1"/>
        <v>SEKI</v>
      </c>
      <c r="F106" s="20">
        <v>35.269370000000002</v>
      </c>
      <c r="G106" s="20">
        <v>133.35668999999999</v>
      </c>
      <c r="H106" s="20">
        <v>7.8</v>
      </c>
      <c r="I106" s="20">
        <v>6.83</v>
      </c>
      <c r="J106" s="20">
        <v>150</v>
      </c>
      <c r="K106" s="20">
        <v>87</v>
      </c>
      <c r="L106" s="20">
        <v>2.1780279689509401</v>
      </c>
      <c r="M106" s="20">
        <v>1</v>
      </c>
      <c r="N106" s="20">
        <v>17</v>
      </c>
      <c r="O106" s="20">
        <v>8</v>
      </c>
      <c r="P106" s="20">
        <v>2</v>
      </c>
      <c r="Q106" s="20">
        <v>2.2000000000000002</v>
      </c>
      <c r="R106">
        <v>34</v>
      </c>
      <c r="S106">
        <v>17.600000000000001</v>
      </c>
      <c r="T106">
        <v>90.061985323204595</v>
      </c>
      <c r="U106">
        <v>34</v>
      </c>
      <c r="V106">
        <v>17.600000000000001</v>
      </c>
      <c r="W106">
        <v>90.061985323204595</v>
      </c>
      <c r="X106">
        <v>83.735367656754903</v>
      </c>
      <c r="Y106" s="20" t="s">
        <v>76</v>
      </c>
      <c r="Z106">
        <v>96.8</v>
      </c>
      <c r="AA106">
        <v>30.8</v>
      </c>
      <c r="AB106">
        <v>127.6</v>
      </c>
      <c r="AC106">
        <v>16.560193235587601</v>
      </c>
      <c r="AD106" s="28">
        <v>0</v>
      </c>
      <c r="AE106">
        <v>2</v>
      </c>
      <c r="AF106">
        <v>5.7811626040926498</v>
      </c>
      <c r="AG106">
        <v>8.88521470663329</v>
      </c>
      <c r="AH106">
        <v>6.0252343696120301</v>
      </c>
      <c r="AI106">
        <v>9.3326985250127805</v>
      </c>
      <c r="AJ106">
        <v>3.3154679046787399</v>
      </c>
      <c r="AK106">
        <v>3.9822125199545302</v>
      </c>
      <c r="AL106" s="20">
        <v>6.4844119085696601</v>
      </c>
      <c r="AM106" s="20">
        <v>3.6138251036816902</v>
      </c>
      <c r="AN106" s="20" t="s">
        <v>58</v>
      </c>
    </row>
    <row r="107" spans="1:40" x14ac:dyDescent="0.25">
      <c r="A107" s="20">
        <v>105</v>
      </c>
      <c r="B107" s="20" t="s">
        <v>172</v>
      </c>
      <c r="C107" s="20" t="s">
        <v>63</v>
      </c>
      <c r="D107">
        <v>0</v>
      </c>
      <c r="E107" s="20" t="str">
        <f t="shared" si="1"/>
        <v>SEMM</v>
      </c>
      <c r="F107" s="20">
        <v>35.268999999999998</v>
      </c>
      <c r="G107" s="20">
        <v>133.357</v>
      </c>
      <c r="H107" s="20">
        <v>14.5</v>
      </c>
      <c r="I107" s="20">
        <v>6.73</v>
      </c>
      <c r="J107" s="20">
        <v>150</v>
      </c>
      <c r="K107" s="20">
        <v>90</v>
      </c>
      <c r="L107" s="20">
        <v>180</v>
      </c>
      <c r="M107" s="20">
        <v>0.5</v>
      </c>
      <c r="N107" s="20">
        <v>16</v>
      </c>
      <c r="O107" s="20">
        <v>10</v>
      </c>
      <c r="P107" s="20">
        <v>2</v>
      </c>
      <c r="Q107" s="20">
        <v>2</v>
      </c>
      <c r="R107">
        <v>32</v>
      </c>
      <c r="S107">
        <v>20</v>
      </c>
      <c r="T107">
        <v>61.575000000000003</v>
      </c>
      <c r="U107">
        <v>28</v>
      </c>
      <c r="V107">
        <v>20</v>
      </c>
      <c r="W107">
        <v>70.371428571428595</v>
      </c>
      <c r="X107">
        <v>70.391186821397696</v>
      </c>
      <c r="Y107" s="20" t="s">
        <v>76</v>
      </c>
      <c r="Z107">
        <v>116</v>
      </c>
      <c r="AA107">
        <v>28</v>
      </c>
      <c r="AB107">
        <v>144</v>
      </c>
      <c r="AC107">
        <v>7.0178344238091004</v>
      </c>
      <c r="AD107">
        <v>3.0413812651491101</v>
      </c>
      <c r="AE107">
        <v>8.5586213843118504</v>
      </c>
      <c r="AF107">
        <v>8.15506088445599</v>
      </c>
      <c r="AG107">
        <v>5.0765622270812401</v>
      </c>
      <c r="AH107">
        <v>25.3824284753832</v>
      </c>
      <c r="AI107">
        <v>11.3881979249014</v>
      </c>
      <c r="AJ107">
        <v>3.51904609781305</v>
      </c>
      <c r="AK107">
        <v>3.0909920973223199</v>
      </c>
      <c r="AL107" s="20">
        <v>9.4551547047100204</v>
      </c>
      <c r="AM107" s="20">
        <v>10.477767495034399</v>
      </c>
      <c r="AN107" s="20" t="s">
        <v>58</v>
      </c>
    </row>
    <row r="108" spans="1:40" x14ac:dyDescent="0.25">
      <c r="A108" s="20">
        <v>106</v>
      </c>
      <c r="B108" s="20" t="s">
        <v>173</v>
      </c>
      <c r="C108" s="20" t="s">
        <v>61</v>
      </c>
      <c r="D108">
        <v>0</v>
      </c>
      <c r="E108" s="20" t="str">
        <f t="shared" si="1"/>
        <v>WANG</v>
      </c>
      <c r="F108" s="20">
        <v>23.4</v>
      </c>
      <c r="G108" s="20">
        <v>70.28</v>
      </c>
      <c r="H108" s="20">
        <v>24.94</v>
      </c>
      <c r="I108" s="20">
        <v>7.6</v>
      </c>
      <c r="J108" s="20">
        <v>82</v>
      </c>
      <c r="K108" s="20">
        <v>51</v>
      </c>
      <c r="L108" s="20">
        <v>62.198956272440597</v>
      </c>
      <c r="M108" s="20">
        <v>1.038</v>
      </c>
      <c r="N108" s="20">
        <v>17</v>
      </c>
      <c r="O108" s="20">
        <v>12</v>
      </c>
      <c r="P108" s="20">
        <v>5</v>
      </c>
      <c r="Q108" s="20">
        <v>5</v>
      </c>
      <c r="R108">
        <v>85</v>
      </c>
      <c r="S108">
        <v>60</v>
      </c>
      <c r="T108">
        <v>138.85154117647099</v>
      </c>
      <c r="U108">
        <v>55</v>
      </c>
      <c r="V108">
        <v>50</v>
      </c>
      <c r="W108">
        <v>257.50649454545498</v>
      </c>
      <c r="X108">
        <v>234.91011836118801</v>
      </c>
      <c r="Y108" s="20" t="s">
        <v>64</v>
      </c>
      <c r="Z108">
        <v>625</v>
      </c>
      <c r="AA108">
        <v>250</v>
      </c>
      <c r="AB108">
        <v>875</v>
      </c>
      <c r="AC108">
        <v>0</v>
      </c>
      <c r="AD108">
        <v>2.5733256481811999</v>
      </c>
      <c r="AE108">
        <v>2.5733256481811999</v>
      </c>
      <c r="AF108">
        <v>34.212669709337803</v>
      </c>
      <c r="AG108">
        <v>34.967630966433298</v>
      </c>
      <c r="AH108">
        <v>15.9990812419862</v>
      </c>
      <c r="AI108">
        <v>16.237317117355101</v>
      </c>
      <c r="AJ108">
        <v>9.9768905307905307</v>
      </c>
      <c r="AK108">
        <v>9.9265396931079302</v>
      </c>
      <c r="AL108" s="20">
        <v>5.1473651769469999</v>
      </c>
      <c r="AM108" s="20">
        <v>5.6508236355498198</v>
      </c>
      <c r="AN108" s="20" t="s">
        <v>58</v>
      </c>
    </row>
    <row r="109" spans="1:40" x14ac:dyDescent="0.25">
      <c r="A109" s="20">
        <v>107</v>
      </c>
      <c r="B109" s="20" t="s">
        <v>174</v>
      </c>
      <c r="C109" s="20" t="s">
        <v>61</v>
      </c>
      <c r="D109">
        <v>0</v>
      </c>
      <c r="E109" s="20" t="str">
        <f t="shared" si="1"/>
        <v>ANTO</v>
      </c>
      <c r="F109" s="20">
        <v>23.4</v>
      </c>
      <c r="G109" s="20">
        <v>70.319999999999993</v>
      </c>
      <c r="H109" s="20">
        <v>20</v>
      </c>
      <c r="I109" s="20">
        <v>7.38</v>
      </c>
      <c r="J109" s="20">
        <v>82</v>
      </c>
      <c r="K109" s="20">
        <v>51</v>
      </c>
      <c r="L109" s="20">
        <v>77</v>
      </c>
      <c r="M109" s="20">
        <v>0.5</v>
      </c>
      <c r="N109" s="20">
        <v>27</v>
      </c>
      <c r="O109" s="20">
        <v>18</v>
      </c>
      <c r="P109" s="20">
        <v>3</v>
      </c>
      <c r="Q109" s="20">
        <v>2.5</v>
      </c>
      <c r="R109">
        <v>81</v>
      </c>
      <c r="S109">
        <v>45</v>
      </c>
      <c r="T109">
        <v>87.029463807407396</v>
      </c>
      <c r="U109">
        <v>36</v>
      </c>
      <c r="V109">
        <v>32.5</v>
      </c>
      <c r="W109">
        <v>271.13025263076901</v>
      </c>
      <c r="X109">
        <v>334.047137297841</v>
      </c>
      <c r="Y109" s="20" t="s">
        <v>57</v>
      </c>
      <c r="Z109">
        <v>135</v>
      </c>
      <c r="AA109">
        <v>82.5</v>
      </c>
      <c r="AB109">
        <v>217.5</v>
      </c>
      <c r="AC109">
        <v>12.4354332453679</v>
      </c>
      <c r="AD109">
        <v>1.28062484748657</v>
      </c>
      <c r="AE109">
        <v>1.28062484748657</v>
      </c>
      <c r="AF109">
        <v>24.2102220874682</v>
      </c>
      <c r="AG109">
        <v>12.606467588823399</v>
      </c>
      <c r="AH109">
        <v>8.0628817573336509</v>
      </c>
      <c r="AI109">
        <v>5.0841231727957403</v>
      </c>
      <c r="AJ109">
        <v>6.1967580171693202</v>
      </c>
      <c r="AK109">
        <v>4.7957820921567604</v>
      </c>
      <c r="AL109" s="20">
        <v>3.4246309144198301</v>
      </c>
      <c r="AM109" s="20">
        <v>3.1229272245763302</v>
      </c>
      <c r="AN109" s="20" t="s">
        <v>58</v>
      </c>
    </row>
    <row r="110" spans="1:40" x14ac:dyDescent="0.25">
      <c r="A110" s="20">
        <v>108</v>
      </c>
      <c r="B110" s="20" t="s">
        <v>175</v>
      </c>
      <c r="C110" s="20" t="s">
        <v>61</v>
      </c>
      <c r="D110">
        <v>0</v>
      </c>
      <c r="E110" s="20" t="str">
        <f t="shared" si="1"/>
        <v>HAYE</v>
      </c>
      <c r="F110" s="20">
        <v>23.42</v>
      </c>
      <c r="G110" s="20">
        <v>70.23</v>
      </c>
      <c r="H110" s="20">
        <v>16</v>
      </c>
      <c r="I110" s="20">
        <v>7.61</v>
      </c>
      <c r="J110" s="20">
        <v>65.59</v>
      </c>
      <c r="K110" s="20">
        <v>63.73</v>
      </c>
      <c r="L110" s="20">
        <v>55.339217989570002</v>
      </c>
      <c r="M110" s="20">
        <v>-0.14000000000000001</v>
      </c>
      <c r="N110" s="20">
        <v>28</v>
      </c>
      <c r="O110" s="20">
        <v>12</v>
      </c>
      <c r="P110" s="20">
        <v>5</v>
      </c>
      <c r="Q110" s="20">
        <v>4</v>
      </c>
      <c r="R110" s="25">
        <v>140</v>
      </c>
      <c r="S110" s="25">
        <v>48</v>
      </c>
      <c r="T110" s="25">
        <v>142.750803571429</v>
      </c>
      <c r="U110" s="25">
        <v>95</v>
      </c>
      <c r="V110" s="25">
        <v>32</v>
      </c>
      <c r="W110" s="25">
        <v>315.55440789473698</v>
      </c>
      <c r="X110" s="25">
        <v>295.83867126484103</v>
      </c>
      <c r="Y110" s="20" t="s">
        <v>102</v>
      </c>
      <c r="Z110" s="25">
        <v>840</v>
      </c>
      <c r="AA110" s="25">
        <v>380</v>
      </c>
      <c r="AB110" s="25">
        <v>1220</v>
      </c>
      <c r="AC110" s="25">
        <v>57.010963857840501</v>
      </c>
      <c r="AD110" s="25">
        <v>3.2015621187164198</v>
      </c>
      <c r="AE110" s="25">
        <v>9.6046863561492692</v>
      </c>
      <c r="AF110" s="25">
        <v>66.175672723508995</v>
      </c>
      <c r="AG110" s="25">
        <v>18.075713122896801</v>
      </c>
      <c r="AH110" s="25">
        <v>17.160135348761202</v>
      </c>
      <c r="AI110" s="25">
        <v>8.4952184835210094</v>
      </c>
      <c r="AJ110" s="25">
        <v>11.0511561437238</v>
      </c>
      <c r="AK110" s="25">
        <v>7.92928554731433</v>
      </c>
      <c r="AL110" s="20">
        <v>12.2930851497905</v>
      </c>
      <c r="AM110" s="20">
        <v>7.7415967474417098</v>
      </c>
      <c r="AN110" s="20" t="s">
        <v>58</v>
      </c>
    </row>
    <row r="111" spans="1:40" x14ac:dyDescent="0.25">
      <c r="A111" s="20">
        <v>109</v>
      </c>
      <c r="B111" s="20" t="s">
        <v>176</v>
      </c>
      <c r="C111" s="20" t="s">
        <v>61</v>
      </c>
      <c r="D111">
        <v>0</v>
      </c>
      <c r="E111" s="20" t="str">
        <f t="shared" si="1"/>
        <v>YAGI</v>
      </c>
      <c r="F111" s="20">
        <v>23.63</v>
      </c>
      <c r="G111" s="20">
        <v>70.239999999999995</v>
      </c>
      <c r="H111" s="20">
        <v>18</v>
      </c>
      <c r="I111" s="20">
        <v>7.66</v>
      </c>
      <c r="J111" s="20">
        <v>78</v>
      </c>
      <c r="K111" s="20">
        <v>58</v>
      </c>
      <c r="L111" s="20">
        <v>81</v>
      </c>
      <c r="M111" s="20">
        <v>1</v>
      </c>
      <c r="N111" s="20">
        <v>15</v>
      </c>
      <c r="O111" s="20">
        <v>7</v>
      </c>
      <c r="P111" s="20">
        <v>5</v>
      </c>
      <c r="Q111" s="20">
        <v>5</v>
      </c>
      <c r="R111">
        <v>75</v>
      </c>
      <c r="S111">
        <v>35</v>
      </c>
      <c r="T111">
        <v>315.384761904762</v>
      </c>
      <c r="U111">
        <v>70</v>
      </c>
      <c r="V111">
        <v>35</v>
      </c>
      <c r="W111">
        <v>337.912244897959</v>
      </c>
      <c r="X111">
        <v>191.794481879622</v>
      </c>
      <c r="Y111" s="20" t="s">
        <v>57</v>
      </c>
      <c r="Z111">
        <v>900</v>
      </c>
      <c r="AA111">
        <v>600</v>
      </c>
      <c r="AB111">
        <v>1500</v>
      </c>
      <c r="AC111">
        <v>41.608292442733102</v>
      </c>
      <c r="AD111">
        <v>2.5</v>
      </c>
      <c r="AE111">
        <v>2.5</v>
      </c>
      <c r="AF111">
        <v>74.999999999999801</v>
      </c>
      <c r="AG111">
        <v>34.999999999999702</v>
      </c>
      <c r="AH111">
        <v>22.619338951355701</v>
      </c>
      <c r="AI111">
        <v>14.895386688036901</v>
      </c>
      <c r="AJ111">
        <v>11.8598405149993</v>
      </c>
      <c r="AK111">
        <v>11.3806078374138</v>
      </c>
      <c r="AL111" s="20">
        <v>21.744117200751099</v>
      </c>
      <c r="AM111" s="20">
        <v>20.490093979774699</v>
      </c>
      <c r="AN111" s="20" t="s">
        <v>58</v>
      </c>
    </row>
    <row r="112" spans="1:40" x14ac:dyDescent="0.25">
      <c r="A112" s="20">
        <v>110</v>
      </c>
      <c r="B112" s="20" t="s">
        <v>177</v>
      </c>
      <c r="C112" s="20" t="s">
        <v>61</v>
      </c>
      <c r="D112">
        <v>0</v>
      </c>
      <c r="E112" s="20" t="str">
        <f t="shared" si="1"/>
        <v>KAKE</v>
      </c>
      <c r="F112" s="20">
        <v>34.129199999999997</v>
      </c>
      <c r="G112" s="20">
        <v>132.6962</v>
      </c>
      <c r="H112" s="20">
        <v>46.46</v>
      </c>
      <c r="I112" s="20">
        <v>6.68</v>
      </c>
      <c r="J112" s="20">
        <v>170</v>
      </c>
      <c r="K112" s="20">
        <v>60</v>
      </c>
      <c r="L112" s="20">
        <v>-56.618620461676599</v>
      </c>
      <c r="M112" s="20">
        <v>40</v>
      </c>
      <c r="N112" s="20">
        <v>10</v>
      </c>
      <c r="O112" s="20">
        <v>6</v>
      </c>
      <c r="P112" s="20">
        <v>3</v>
      </c>
      <c r="Q112" s="20">
        <v>3</v>
      </c>
      <c r="R112">
        <v>30</v>
      </c>
      <c r="S112">
        <v>18</v>
      </c>
      <c r="T112">
        <v>66.883333333333297</v>
      </c>
      <c r="U112">
        <v>30</v>
      </c>
      <c r="V112">
        <v>18</v>
      </c>
      <c r="W112">
        <v>66.883333333333297</v>
      </c>
      <c r="X112">
        <v>51.631711339245904</v>
      </c>
      <c r="Y112" s="20" t="s">
        <v>64</v>
      </c>
      <c r="Z112">
        <v>108</v>
      </c>
      <c r="AA112">
        <v>45</v>
      </c>
      <c r="AB112">
        <v>153</v>
      </c>
      <c r="AC112">
        <v>14.577379737113301</v>
      </c>
      <c r="AD112">
        <v>1.58113883008419</v>
      </c>
      <c r="AE112">
        <v>13.946325680981399</v>
      </c>
      <c r="AF112">
        <v>10.1990447876227</v>
      </c>
      <c r="AG112">
        <v>5.1176644315748003</v>
      </c>
      <c r="AH112">
        <v>26.568502109784099</v>
      </c>
      <c r="AI112">
        <v>9.4323693798312096</v>
      </c>
      <c r="AJ112">
        <v>5.2242114798793402</v>
      </c>
      <c r="AK112">
        <v>4.1997129160238904</v>
      </c>
      <c r="AL112" s="20">
        <v>16.831589452276901</v>
      </c>
      <c r="AM112" s="20">
        <v>15.7519139516441</v>
      </c>
      <c r="AN112" s="20" t="s">
        <v>58</v>
      </c>
    </row>
    <row r="113" spans="1:40" x14ac:dyDescent="0.25">
      <c r="A113" s="20">
        <v>111</v>
      </c>
      <c r="B113" s="20" t="s">
        <v>178</v>
      </c>
      <c r="C113" s="20" t="s">
        <v>61</v>
      </c>
      <c r="D113">
        <v>0</v>
      </c>
      <c r="E113" s="20" t="str">
        <f t="shared" si="1"/>
        <v>SEKI</v>
      </c>
      <c r="F113" s="20">
        <v>34.129199999999997</v>
      </c>
      <c r="G113" s="20">
        <v>132.6962</v>
      </c>
      <c r="H113" s="20">
        <v>46.46</v>
      </c>
      <c r="I113" s="20">
        <v>6.79</v>
      </c>
      <c r="J113" s="20">
        <v>180</v>
      </c>
      <c r="K113" s="20">
        <v>58.5</v>
      </c>
      <c r="L113" s="20">
        <v>109</v>
      </c>
      <c r="M113" s="20">
        <v>40</v>
      </c>
      <c r="N113" s="20">
        <v>10</v>
      </c>
      <c r="O113" s="20">
        <v>7</v>
      </c>
      <c r="P113" s="20">
        <v>3</v>
      </c>
      <c r="Q113" s="20">
        <v>3</v>
      </c>
      <c r="R113">
        <v>30</v>
      </c>
      <c r="S113">
        <v>21</v>
      </c>
      <c r="T113">
        <v>83.128571428571405</v>
      </c>
      <c r="U113">
        <v>30</v>
      </c>
      <c r="V113">
        <v>21</v>
      </c>
      <c r="W113">
        <v>83.128571428571405</v>
      </c>
      <c r="X113">
        <v>66.520329556507903</v>
      </c>
      <c r="Y113" s="20" t="s">
        <v>64</v>
      </c>
      <c r="Z113">
        <v>144</v>
      </c>
      <c r="AA113">
        <v>63</v>
      </c>
      <c r="AB113">
        <v>207</v>
      </c>
      <c r="AC113">
        <v>12.903487900563899</v>
      </c>
      <c r="AD113">
        <v>2.1213203435596402</v>
      </c>
      <c r="AE113">
        <v>2.1213203435596402</v>
      </c>
      <c r="AF113">
        <v>7.8342870935539697</v>
      </c>
      <c r="AG113">
        <v>7.2727253939875904</v>
      </c>
      <c r="AH113">
        <v>20.064107864897</v>
      </c>
      <c r="AI113">
        <v>17.1599837121056</v>
      </c>
      <c r="AJ113">
        <v>4.6833813208524999</v>
      </c>
      <c r="AK113">
        <v>4.7844162378648898</v>
      </c>
      <c r="AL113" s="20">
        <v>18.069659643999898</v>
      </c>
      <c r="AM113" s="20">
        <v>11.6648520350667</v>
      </c>
      <c r="AN113" s="20" t="s">
        <v>58</v>
      </c>
    </row>
    <row r="114" spans="1:40" x14ac:dyDescent="0.25">
      <c r="A114" s="20">
        <v>112</v>
      </c>
      <c r="B114" s="20" t="s">
        <v>179</v>
      </c>
      <c r="C114" s="20" t="s">
        <v>63</v>
      </c>
      <c r="D114">
        <v>0</v>
      </c>
      <c r="E114" s="20" t="str">
        <f t="shared" si="1"/>
        <v>HAYE</v>
      </c>
      <c r="F114" s="20">
        <v>35.950000000000003</v>
      </c>
      <c r="G114" s="20">
        <v>90.54</v>
      </c>
      <c r="H114" s="20">
        <v>10</v>
      </c>
      <c r="I114" s="20">
        <v>7.84</v>
      </c>
      <c r="J114" s="20">
        <v>94.409999999999897</v>
      </c>
      <c r="K114" s="20">
        <v>72</v>
      </c>
      <c r="L114" s="20">
        <v>-11.2664318945947</v>
      </c>
      <c r="M114" s="20">
        <v>-0.89</v>
      </c>
      <c r="N114" s="20">
        <v>36</v>
      </c>
      <c r="O114" s="20">
        <v>8</v>
      </c>
      <c r="P114" s="20">
        <v>12</v>
      </c>
      <c r="Q114" s="20">
        <v>4.58</v>
      </c>
      <c r="R114" s="25">
        <v>432</v>
      </c>
      <c r="S114" s="25">
        <v>36.64</v>
      </c>
      <c r="T114" s="25">
        <v>134.305291701389</v>
      </c>
      <c r="U114" s="25">
        <v>372</v>
      </c>
      <c r="V114" s="25">
        <v>36.64</v>
      </c>
      <c r="W114" s="25">
        <v>155.967435524194</v>
      </c>
      <c r="X114" s="25">
        <v>130.57698805203299</v>
      </c>
      <c r="Y114" s="20" t="s">
        <v>102</v>
      </c>
      <c r="Z114" s="29">
        <v>2967.84</v>
      </c>
      <c r="AA114" s="25">
        <v>384.72</v>
      </c>
      <c r="AB114" s="25">
        <v>3352.56</v>
      </c>
      <c r="AC114" s="25">
        <v>22.1454384709089</v>
      </c>
      <c r="AD114" s="25">
        <v>15.528119713274901</v>
      </c>
      <c r="AE114" s="25">
        <v>7.0316166204653596</v>
      </c>
      <c r="AF114" s="25">
        <v>96.651522000399197</v>
      </c>
      <c r="AG114" s="25">
        <v>13.4111532954556</v>
      </c>
      <c r="AH114" s="25">
        <v>183.76505818840499</v>
      </c>
      <c r="AI114" s="25">
        <v>17.700847300796099</v>
      </c>
      <c r="AJ114" s="25">
        <v>24.544205466398299</v>
      </c>
      <c r="AK114" s="25">
        <v>8.0285830081030198</v>
      </c>
      <c r="AL114" s="20">
        <v>230.14963024581601</v>
      </c>
      <c r="AM114" s="20">
        <v>186.06106219682101</v>
      </c>
      <c r="AN114" s="20" t="s">
        <v>58</v>
      </c>
    </row>
    <row r="115" spans="1:40" x14ac:dyDescent="0.25">
      <c r="A115" s="20">
        <v>113</v>
      </c>
      <c r="B115" s="20" t="s">
        <v>180</v>
      </c>
      <c r="C115" s="20" t="s">
        <v>56</v>
      </c>
      <c r="D115">
        <v>0</v>
      </c>
      <c r="E115" s="20" t="str">
        <f t="shared" si="1"/>
        <v>OGLE</v>
      </c>
      <c r="F115" s="20">
        <v>63.52</v>
      </c>
      <c r="G115" s="20">
        <v>-147.53</v>
      </c>
      <c r="H115" s="20">
        <v>7.5</v>
      </c>
      <c r="I115" s="20">
        <v>7.91</v>
      </c>
      <c r="J115" s="20">
        <v>111</v>
      </c>
      <c r="K115" s="20">
        <v>90</v>
      </c>
      <c r="L115" s="20">
        <v>-35.003307662861502</v>
      </c>
      <c r="M115" s="20">
        <v>0</v>
      </c>
      <c r="N115" s="20">
        <v>88</v>
      </c>
      <c r="O115" s="20">
        <v>8</v>
      </c>
      <c r="P115" s="20">
        <v>3.87</v>
      </c>
      <c r="Q115" s="20">
        <v>3.75</v>
      </c>
      <c r="R115">
        <v>346</v>
      </c>
      <c r="S115">
        <v>30</v>
      </c>
      <c r="T115">
        <v>214.74783393230001</v>
      </c>
      <c r="U115">
        <v>305.73</v>
      </c>
      <c r="V115">
        <v>30</v>
      </c>
      <c r="W115">
        <v>239.21277703851101</v>
      </c>
      <c r="X115">
        <v>246.27577889977701</v>
      </c>
      <c r="Y115" s="20" t="s">
        <v>57</v>
      </c>
      <c r="Z115">
        <v>1915.65</v>
      </c>
      <c r="AA115">
        <v>609.52499999999998</v>
      </c>
      <c r="AB115">
        <v>2525.1750000000002</v>
      </c>
      <c r="AC115">
        <v>184.18348521243701</v>
      </c>
      <c r="AD115">
        <v>2.4795412882224799</v>
      </c>
      <c r="AE115">
        <v>95.3551179801063</v>
      </c>
      <c r="AF115">
        <v>47.744706667959697</v>
      </c>
      <c r="AG115">
        <v>24.114999168568101</v>
      </c>
      <c r="AH115">
        <v>65.302986433346007</v>
      </c>
      <c r="AI115">
        <v>29.999920978145401</v>
      </c>
      <c r="AJ115">
        <v>8.3462174426190607</v>
      </c>
      <c r="AK115">
        <v>7.3562241635249404</v>
      </c>
      <c r="AL115" s="20">
        <v>206.93348096245799</v>
      </c>
      <c r="AM115" s="20">
        <v>194.74259247658199</v>
      </c>
      <c r="AN115" s="20" t="s">
        <v>58</v>
      </c>
    </row>
    <row r="116" spans="1:40" x14ac:dyDescent="0.25">
      <c r="A116" s="20">
        <v>114</v>
      </c>
      <c r="B116" s="20" t="s">
        <v>181</v>
      </c>
      <c r="C116" s="20" t="s">
        <v>61</v>
      </c>
      <c r="D116">
        <v>1</v>
      </c>
      <c r="E116" s="20" t="str">
        <f t="shared" si="1"/>
        <v>SEMM</v>
      </c>
      <c r="F116" s="20">
        <v>36.83</v>
      </c>
      <c r="G116" s="20">
        <v>3.65</v>
      </c>
      <c r="H116" s="20">
        <v>16</v>
      </c>
      <c r="I116" s="20">
        <v>7.25</v>
      </c>
      <c r="J116" s="20">
        <v>54</v>
      </c>
      <c r="K116" s="20">
        <v>47</v>
      </c>
      <c r="L116" s="20">
        <v>90</v>
      </c>
      <c r="M116" s="20">
        <v>1</v>
      </c>
      <c r="N116" s="20">
        <v>16</v>
      </c>
      <c r="O116" s="20">
        <v>8</v>
      </c>
      <c r="P116" s="20">
        <v>4</v>
      </c>
      <c r="Q116" s="20">
        <v>4</v>
      </c>
      <c r="R116">
        <v>64</v>
      </c>
      <c r="S116">
        <v>32</v>
      </c>
      <c r="T116">
        <v>124.280215949856</v>
      </c>
      <c r="U116">
        <v>64</v>
      </c>
      <c r="V116">
        <v>32</v>
      </c>
      <c r="W116">
        <v>124.280215949856</v>
      </c>
      <c r="X116">
        <v>68.2584099141054</v>
      </c>
      <c r="Y116" s="20" t="s">
        <v>76</v>
      </c>
      <c r="Z116">
        <v>1024</v>
      </c>
      <c r="AA116">
        <v>80</v>
      </c>
      <c r="AB116">
        <v>1104</v>
      </c>
      <c r="AC116">
        <v>22.090722034374501</v>
      </c>
      <c r="AD116">
        <v>2.8284271247461898</v>
      </c>
      <c r="AE116">
        <v>14.142135623731001</v>
      </c>
      <c r="AF116">
        <v>21.539863298619299</v>
      </c>
      <c r="AG116">
        <v>15.9676328632329</v>
      </c>
      <c r="AH116">
        <v>45.333764807448397</v>
      </c>
      <c r="AI116">
        <v>29.941471773692701</v>
      </c>
      <c r="AJ116">
        <v>7.51421969172074</v>
      </c>
      <c r="AK116">
        <v>6.9809936511954804</v>
      </c>
      <c r="AL116" s="20">
        <v>17.1369896390819</v>
      </c>
      <c r="AM116" s="20">
        <v>5.9260695043173399</v>
      </c>
      <c r="AN116" s="20" t="s">
        <v>58</v>
      </c>
    </row>
    <row r="117" spans="1:40" x14ac:dyDescent="0.25">
      <c r="A117" s="20">
        <v>115</v>
      </c>
      <c r="B117" s="20" t="s">
        <v>182</v>
      </c>
      <c r="C117" s="20" t="s">
        <v>63</v>
      </c>
      <c r="D117">
        <v>0</v>
      </c>
      <c r="E117" s="20" t="str">
        <f t="shared" si="1"/>
        <v>WEIx</v>
      </c>
      <c r="F117" s="20">
        <v>-2.6116000000000001</v>
      </c>
      <c r="G117" s="20">
        <v>68.370400000000004</v>
      </c>
      <c r="H117" s="20">
        <v>11.326000000000001</v>
      </c>
      <c r="I117" s="20">
        <v>7.6</v>
      </c>
      <c r="J117" s="20">
        <v>215</v>
      </c>
      <c r="K117" s="20">
        <v>84</v>
      </c>
      <c r="L117" s="20">
        <v>167.01794995405299</v>
      </c>
      <c r="M117" s="20">
        <v>1.38075620926345</v>
      </c>
      <c r="N117" s="20">
        <v>32</v>
      </c>
      <c r="O117" s="20">
        <v>9</v>
      </c>
      <c r="P117" s="20">
        <v>10</v>
      </c>
      <c r="Q117" s="20">
        <v>4</v>
      </c>
      <c r="R117">
        <v>320</v>
      </c>
      <c r="S117">
        <v>36</v>
      </c>
      <c r="T117">
        <v>54.893101736111099</v>
      </c>
      <c r="U117">
        <v>290</v>
      </c>
      <c r="V117">
        <v>36</v>
      </c>
      <c r="W117">
        <v>60.571698467433002</v>
      </c>
      <c r="X117">
        <v>81.876249488699102</v>
      </c>
      <c r="Y117" s="20" t="s">
        <v>64</v>
      </c>
      <c r="Z117">
        <v>1920</v>
      </c>
      <c r="AA117">
        <v>1040</v>
      </c>
      <c r="AB117">
        <v>2960</v>
      </c>
      <c r="AC117">
        <v>0</v>
      </c>
      <c r="AD117">
        <v>5.3851648071345002</v>
      </c>
      <c r="AE117">
        <v>145.67429423203001</v>
      </c>
      <c r="AF117">
        <v>67.7163460030946</v>
      </c>
      <c r="AG117">
        <v>19.292708653335701</v>
      </c>
      <c r="AH117">
        <v>34.122054769429297</v>
      </c>
      <c r="AI117">
        <v>10.7733089048427</v>
      </c>
      <c r="AJ117">
        <v>19.888168290753502</v>
      </c>
      <c r="AK117">
        <v>7.5002309706796098</v>
      </c>
      <c r="AL117" s="20">
        <v>179.273259044984</v>
      </c>
      <c r="AM117" s="20">
        <v>172.48721533012201</v>
      </c>
      <c r="AN117" s="20" t="s">
        <v>58</v>
      </c>
    </row>
    <row r="118" spans="1:40" x14ac:dyDescent="0.25">
      <c r="A118" s="20">
        <v>116</v>
      </c>
      <c r="B118" s="20" t="s">
        <v>183</v>
      </c>
      <c r="C118" s="20" t="s">
        <v>61</v>
      </c>
      <c r="D118">
        <v>1</v>
      </c>
      <c r="E118" s="20" t="str">
        <f t="shared" si="1"/>
        <v>HAYE</v>
      </c>
      <c r="F118" s="20">
        <v>18.77</v>
      </c>
      <c r="G118" s="20">
        <v>-104.1</v>
      </c>
      <c r="H118" s="20">
        <v>24</v>
      </c>
      <c r="I118" s="20">
        <v>7.46</v>
      </c>
      <c r="J118" s="20">
        <v>304</v>
      </c>
      <c r="K118" s="20">
        <v>16</v>
      </c>
      <c r="L118" s="20">
        <v>109.18647055117999</v>
      </c>
      <c r="M118" s="20">
        <v>1.35</v>
      </c>
      <c r="N118" s="20">
        <v>15</v>
      </c>
      <c r="O118" s="20">
        <v>31</v>
      </c>
      <c r="P118" s="20">
        <v>7</v>
      </c>
      <c r="Q118" s="20">
        <v>5.3</v>
      </c>
      <c r="R118" s="25">
        <v>105</v>
      </c>
      <c r="S118" s="25">
        <v>164.3</v>
      </c>
      <c r="T118" s="25">
        <v>20.502623655914</v>
      </c>
      <c r="U118" s="25">
        <v>77</v>
      </c>
      <c r="V118" s="25">
        <v>90.1</v>
      </c>
      <c r="W118" s="25">
        <v>50.982459893048102</v>
      </c>
      <c r="X118" s="25">
        <v>78.845903881462704</v>
      </c>
      <c r="Y118" s="20" t="s">
        <v>102</v>
      </c>
      <c r="Z118" s="25">
        <v>927.5</v>
      </c>
      <c r="AA118" s="25">
        <v>296.8</v>
      </c>
      <c r="AB118" s="25">
        <v>1224.3</v>
      </c>
      <c r="AC118" s="25">
        <v>53.098516928441597</v>
      </c>
      <c r="AD118" s="25">
        <v>4.3900455578501703</v>
      </c>
      <c r="AE118" s="25">
        <v>18.8773011842265</v>
      </c>
      <c r="AF118" s="25">
        <v>36.611073776005398</v>
      </c>
      <c r="AG118" s="25">
        <v>31.906214456247501</v>
      </c>
      <c r="AH118" s="25">
        <v>13.2365192337361</v>
      </c>
      <c r="AI118" s="25">
        <v>10.880725017868199</v>
      </c>
      <c r="AJ118" s="25">
        <v>13.3695587839645</v>
      </c>
      <c r="AK118" s="25">
        <v>10.589261658800501</v>
      </c>
      <c r="AL118" s="20">
        <v>24.825387795561198</v>
      </c>
      <c r="AM118" s="20">
        <v>24.451784451241998</v>
      </c>
      <c r="AN118" s="20" t="s">
        <v>58</v>
      </c>
    </row>
    <row r="119" spans="1:40" x14ac:dyDescent="0.25">
      <c r="A119" s="20">
        <v>117</v>
      </c>
      <c r="B119" s="20" t="s">
        <v>184</v>
      </c>
      <c r="C119" s="20" t="s">
        <v>61</v>
      </c>
      <c r="D119">
        <v>1</v>
      </c>
      <c r="E119" s="20" t="str">
        <f t="shared" si="1"/>
        <v>YAGI</v>
      </c>
      <c r="F119" s="20">
        <v>18.71</v>
      </c>
      <c r="G119" s="20">
        <v>-104.13</v>
      </c>
      <c r="H119" s="20">
        <v>20</v>
      </c>
      <c r="I119" s="20">
        <v>7.5</v>
      </c>
      <c r="J119" s="20">
        <v>300</v>
      </c>
      <c r="K119" s="20">
        <v>22</v>
      </c>
      <c r="L119" s="20">
        <v>93</v>
      </c>
      <c r="M119" s="20">
        <v>12</v>
      </c>
      <c r="N119" s="20">
        <v>14</v>
      </c>
      <c r="O119" s="20">
        <v>17</v>
      </c>
      <c r="P119" s="20">
        <v>5</v>
      </c>
      <c r="Q119" s="20">
        <v>5</v>
      </c>
      <c r="R119">
        <v>70</v>
      </c>
      <c r="S119">
        <v>85</v>
      </c>
      <c r="T119">
        <v>60.621008403361401</v>
      </c>
      <c r="U119">
        <v>70</v>
      </c>
      <c r="V119">
        <v>85</v>
      </c>
      <c r="W119">
        <v>60.621008403361301</v>
      </c>
      <c r="X119">
        <v>65.749509149568595</v>
      </c>
      <c r="Y119" s="20" t="s">
        <v>57</v>
      </c>
      <c r="Z119">
        <v>750</v>
      </c>
      <c r="AA119">
        <v>300</v>
      </c>
      <c r="AB119">
        <v>1050</v>
      </c>
      <c r="AC119">
        <v>14.577379737113301</v>
      </c>
      <c r="AD119">
        <v>3.53553390593274</v>
      </c>
      <c r="AE119">
        <v>7.9056941504209499</v>
      </c>
      <c r="AF119">
        <v>27.4921977737657</v>
      </c>
      <c r="AG119">
        <v>24.777869739782702</v>
      </c>
      <c r="AH119">
        <v>15.4823933327181</v>
      </c>
      <c r="AI119">
        <v>14.253961715970901</v>
      </c>
      <c r="AJ119">
        <v>9.6849744228293204</v>
      </c>
      <c r="AK119">
        <v>9.3250872650974106</v>
      </c>
      <c r="AL119" s="20">
        <v>13.361014064808099</v>
      </c>
      <c r="AM119" s="20">
        <v>8.2789154513136598</v>
      </c>
      <c r="AN119" s="20" t="s">
        <v>58</v>
      </c>
    </row>
    <row r="120" spans="1:40" x14ac:dyDescent="0.25">
      <c r="A120" s="20">
        <v>118</v>
      </c>
      <c r="B120" s="20" t="s">
        <v>185</v>
      </c>
      <c r="C120" s="20" t="s">
        <v>63</v>
      </c>
      <c r="D120">
        <v>0</v>
      </c>
      <c r="E120" s="20" t="str">
        <f t="shared" si="1"/>
        <v>HIKI</v>
      </c>
      <c r="F120" s="20">
        <v>38.402999999999999</v>
      </c>
      <c r="G120" s="20">
        <v>141.17400000000001</v>
      </c>
      <c r="H120" s="20">
        <v>6.5</v>
      </c>
      <c r="I120" s="20">
        <v>6.1</v>
      </c>
      <c r="J120" s="20">
        <v>203</v>
      </c>
      <c r="K120" s="20">
        <v>47.5</v>
      </c>
      <c r="L120" s="20">
        <v>180</v>
      </c>
      <c r="M120" s="20">
        <v>1.55</v>
      </c>
      <c r="N120" s="20">
        <v>9</v>
      </c>
      <c r="O120" s="20">
        <v>5</v>
      </c>
      <c r="P120" s="20">
        <v>2</v>
      </c>
      <c r="Q120" s="20">
        <v>2</v>
      </c>
      <c r="R120">
        <v>18</v>
      </c>
      <c r="S120">
        <v>10</v>
      </c>
      <c r="T120">
        <v>31.108444444444402</v>
      </c>
      <c r="U120">
        <v>18</v>
      </c>
      <c r="V120">
        <v>10</v>
      </c>
      <c r="W120">
        <v>31.108444444444402</v>
      </c>
      <c r="X120">
        <v>20.381010095803699</v>
      </c>
      <c r="Y120" s="20" t="s">
        <v>64</v>
      </c>
      <c r="Z120" s="28">
        <v>52</v>
      </c>
      <c r="AA120">
        <v>16</v>
      </c>
      <c r="AB120">
        <v>68</v>
      </c>
      <c r="AC120">
        <v>11.4017542509914</v>
      </c>
      <c r="AD120">
        <v>1.4142135623731</v>
      </c>
      <c r="AE120">
        <v>3.16227766016838</v>
      </c>
      <c r="AF120">
        <v>5.6946058762521004</v>
      </c>
      <c r="AG120">
        <v>3.1323635679734401</v>
      </c>
      <c r="AH120">
        <v>12.315162952125799</v>
      </c>
      <c r="AI120">
        <v>5.1871595851585797</v>
      </c>
      <c r="AJ120">
        <v>3.32536414938764</v>
      </c>
      <c r="AK120">
        <v>2.8632782955065599</v>
      </c>
      <c r="AL120" s="20">
        <v>6.814316873319</v>
      </c>
      <c r="AM120" s="20">
        <v>6.1577100946699304</v>
      </c>
      <c r="AN120" s="20" t="s">
        <v>58</v>
      </c>
    </row>
    <row r="121" spans="1:40" x14ac:dyDescent="0.25">
      <c r="A121" s="20">
        <v>119</v>
      </c>
      <c r="B121" s="20" t="s">
        <v>186</v>
      </c>
      <c r="C121" s="20" t="s">
        <v>63</v>
      </c>
      <c r="D121">
        <v>0</v>
      </c>
      <c r="E121" s="20" t="str">
        <f t="shared" si="1"/>
        <v>MIUR</v>
      </c>
      <c r="F121" s="20">
        <v>38.402999999999999</v>
      </c>
      <c r="G121" s="20">
        <v>141.17400000000001</v>
      </c>
      <c r="H121" s="20">
        <v>6.5</v>
      </c>
      <c r="I121" s="20">
        <v>6.08</v>
      </c>
      <c r="J121" s="20">
        <v>203</v>
      </c>
      <c r="K121" s="20">
        <v>50</v>
      </c>
      <c r="L121" s="20">
        <v>180</v>
      </c>
      <c r="M121" s="20">
        <v>1.5</v>
      </c>
      <c r="N121" s="20">
        <v>10</v>
      </c>
      <c r="O121" s="20">
        <v>8</v>
      </c>
      <c r="P121" s="20">
        <v>1.2</v>
      </c>
      <c r="Q121" s="20">
        <v>1.2</v>
      </c>
      <c r="R121">
        <v>12</v>
      </c>
      <c r="S121">
        <v>9.6</v>
      </c>
      <c r="T121">
        <v>47.366374999999998</v>
      </c>
      <c r="U121">
        <v>9.6</v>
      </c>
      <c r="V121">
        <v>9.6</v>
      </c>
      <c r="W121">
        <v>59.207968749999999</v>
      </c>
      <c r="X121">
        <v>55.409335454450201</v>
      </c>
      <c r="Y121" s="20" t="s">
        <v>92</v>
      </c>
      <c r="Z121" s="28">
        <v>25.92</v>
      </c>
      <c r="AA121">
        <v>10.08</v>
      </c>
      <c r="AB121">
        <v>36</v>
      </c>
      <c r="AC121">
        <v>7.0936591403872802</v>
      </c>
      <c r="AD121">
        <v>1.8110770276274799</v>
      </c>
      <c r="AE121">
        <v>5.5785302723925403</v>
      </c>
      <c r="AF121">
        <v>4.2470683589007496</v>
      </c>
      <c r="AG121">
        <v>4.4098940839181804</v>
      </c>
      <c r="AH121">
        <v>1.7555506711712801</v>
      </c>
      <c r="AI121">
        <v>1.78225179274037</v>
      </c>
      <c r="AJ121">
        <v>2.15834608127606</v>
      </c>
      <c r="AK121">
        <v>2.15144851022258</v>
      </c>
      <c r="AL121" s="20">
        <v>7.5679383962873299</v>
      </c>
      <c r="AM121" s="20">
        <v>5.9337247905510404</v>
      </c>
      <c r="AN121" s="20" t="s">
        <v>58</v>
      </c>
    </row>
    <row r="122" spans="1:40" x14ac:dyDescent="0.25">
      <c r="A122" s="20">
        <v>120</v>
      </c>
      <c r="B122" s="20" t="s">
        <v>187</v>
      </c>
      <c r="C122" s="20" t="s">
        <v>61</v>
      </c>
      <c r="D122">
        <v>1</v>
      </c>
      <c r="E122" s="20" t="str">
        <f t="shared" si="1"/>
        <v>HAYE</v>
      </c>
      <c r="F122" s="20">
        <v>41.81</v>
      </c>
      <c r="G122" s="20">
        <v>143.91</v>
      </c>
      <c r="H122" s="20">
        <v>27</v>
      </c>
      <c r="I122" s="20">
        <v>8.24</v>
      </c>
      <c r="J122" s="20">
        <v>240</v>
      </c>
      <c r="K122" s="20">
        <v>17</v>
      </c>
      <c r="L122" s="20">
        <v>129.11415346061401</v>
      </c>
      <c r="M122" s="20">
        <v>1.72</v>
      </c>
      <c r="N122" s="20">
        <v>17</v>
      </c>
      <c r="O122" s="20">
        <v>25</v>
      </c>
      <c r="P122" s="20">
        <v>16</v>
      </c>
      <c r="Q122" s="20">
        <v>9.1</v>
      </c>
      <c r="R122">
        <v>272</v>
      </c>
      <c r="S122">
        <v>227.5</v>
      </c>
      <c r="T122">
        <v>79.628941176470605</v>
      </c>
      <c r="U122">
        <v>224</v>
      </c>
      <c r="V122">
        <v>172.9</v>
      </c>
      <c r="W122">
        <v>127.22669172932299</v>
      </c>
      <c r="X122">
        <v>170.735066426358</v>
      </c>
      <c r="Y122" s="20" t="s">
        <v>102</v>
      </c>
      <c r="Z122" s="28">
        <v>3348.8</v>
      </c>
      <c r="AA122">
        <v>1019.2</v>
      </c>
      <c r="AB122">
        <v>4368</v>
      </c>
      <c r="AC122">
        <v>104.89195631696499</v>
      </c>
      <c r="AD122">
        <v>9.2033961123054997</v>
      </c>
      <c r="AE122">
        <v>32.839343781506997</v>
      </c>
      <c r="AF122">
        <v>76.962478611619403</v>
      </c>
      <c r="AG122">
        <v>47.658050627202101</v>
      </c>
      <c r="AH122">
        <v>46.573170461239101</v>
      </c>
      <c r="AI122">
        <v>28.089053637169801</v>
      </c>
      <c r="AJ122">
        <v>30.013772754016799</v>
      </c>
      <c r="AK122">
        <v>17.207998876238801</v>
      </c>
      <c r="AL122" s="20">
        <v>41.962385600916399</v>
      </c>
      <c r="AM122" s="20">
        <v>31.929440050210701</v>
      </c>
      <c r="AN122" s="20" t="s">
        <v>58</v>
      </c>
    </row>
    <row r="123" spans="1:40" x14ac:dyDescent="0.25">
      <c r="A123" s="20">
        <v>121</v>
      </c>
      <c r="B123" s="20" t="s">
        <v>188</v>
      </c>
      <c r="C123" s="20" t="s">
        <v>61</v>
      </c>
      <c r="D123">
        <v>1</v>
      </c>
      <c r="E123" s="20" t="str">
        <f t="shared" si="1"/>
        <v>KOKE</v>
      </c>
      <c r="F123" s="20">
        <v>41.779699999999998</v>
      </c>
      <c r="G123" s="20">
        <v>144.07849999999999</v>
      </c>
      <c r="H123" s="20">
        <v>25</v>
      </c>
      <c r="I123" s="20">
        <v>8.2100000000000009</v>
      </c>
      <c r="J123" s="20">
        <v>230</v>
      </c>
      <c r="K123" s="20">
        <v>20</v>
      </c>
      <c r="L123" s="20">
        <v>90</v>
      </c>
      <c r="M123" s="20">
        <v>23.3</v>
      </c>
      <c r="N123" s="20">
        <v>12</v>
      </c>
      <c r="O123" s="20">
        <v>10</v>
      </c>
      <c r="P123" s="20">
        <v>10</v>
      </c>
      <c r="Q123" s="20">
        <v>10</v>
      </c>
      <c r="R123">
        <v>120</v>
      </c>
      <c r="S123">
        <v>100</v>
      </c>
      <c r="T123">
        <v>310.88333333333298</v>
      </c>
      <c r="U123">
        <v>120</v>
      </c>
      <c r="V123">
        <v>100</v>
      </c>
      <c r="W123">
        <v>310.88333333333298</v>
      </c>
      <c r="X123">
        <v>120.447637309054</v>
      </c>
      <c r="Y123" s="20" t="s">
        <v>155</v>
      </c>
      <c r="Z123">
        <v>7200</v>
      </c>
      <c r="AA123">
        <v>1600</v>
      </c>
      <c r="AB123">
        <v>8800</v>
      </c>
      <c r="AC123">
        <v>69.641941385920603</v>
      </c>
      <c r="AD123">
        <v>7.0710678118654799</v>
      </c>
      <c r="AE123">
        <v>15.8113883008419</v>
      </c>
      <c r="AF123">
        <v>89.662333620204606</v>
      </c>
      <c r="AG123">
        <v>93.389936556557799</v>
      </c>
      <c r="AH123">
        <v>27.998683090688399</v>
      </c>
      <c r="AI123">
        <v>28.431733040501399</v>
      </c>
      <c r="AJ123">
        <v>21.020025694908298</v>
      </c>
      <c r="AK123">
        <v>20.934764841073299</v>
      </c>
      <c r="AL123" s="20">
        <v>39.5479854012818</v>
      </c>
      <c r="AM123" s="20">
        <v>51.772777225294803</v>
      </c>
      <c r="AN123" s="20" t="s">
        <v>58</v>
      </c>
    </row>
    <row r="124" spans="1:40" x14ac:dyDescent="0.25">
      <c r="A124" s="20">
        <v>122</v>
      </c>
      <c r="B124" s="20" t="s">
        <v>189</v>
      </c>
      <c r="C124" s="20" t="s">
        <v>61</v>
      </c>
      <c r="D124">
        <v>1</v>
      </c>
      <c r="E124" s="20" t="str">
        <f t="shared" si="1"/>
        <v>YAGI</v>
      </c>
      <c r="F124" s="20">
        <v>41.78</v>
      </c>
      <c r="G124" s="20">
        <v>144.08000000000001</v>
      </c>
      <c r="H124" s="20">
        <v>27</v>
      </c>
      <c r="I124" s="20">
        <v>8.16</v>
      </c>
      <c r="J124" s="20">
        <v>250</v>
      </c>
      <c r="K124" s="20">
        <v>20</v>
      </c>
      <c r="L124" s="20">
        <v>130</v>
      </c>
      <c r="M124" s="20">
        <v>5</v>
      </c>
      <c r="N124" s="20">
        <v>13</v>
      </c>
      <c r="O124" s="20">
        <v>17</v>
      </c>
      <c r="P124" s="20">
        <v>10</v>
      </c>
      <c r="Q124" s="20">
        <v>10</v>
      </c>
      <c r="R124">
        <v>130</v>
      </c>
      <c r="S124">
        <v>170</v>
      </c>
      <c r="T124">
        <v>145.95927601810001</v>
      </c>
      <c r="U124">
        <v>120</v>
      </c>
      <c r="V124">
        <v>170</v>
      </c>
      <c r="W124">
        <v>158.12254901960799</v>
      </c>
      <c r="X124">
        <v>131.875821656732</v>
      </c>
      <c r="Y124" s="20" t="s">
        <v>57</v>
      </c>
      <c r="Z124" s="28">
        <v>3600</v>
      </c>
      <c r="AA124">
        <v>1500</v>
      </c>
      <c r="AB124">
        <v>5100</v>
      </c>
      <c r="AC124">
        <v>15.8113883008419</v>
      </c>
      <c r="AD124">
        <v>7.0710678118654799</v>
      </c>
      <c r="AE124">
        <v>7.0710678118654799</v>
      </c>
      <c r="AF124">
        <v>71.564411320786505</v>
      </c>
      <c r="AG124">
        <v>66.3901478259817</v>
      </c>
      <c r="AH124">
        <v>27.703885783398398</v>
      </c>
      <c r="AI124">
        <v>26.2357691680287</v>
      </c>
      <c r="AJ124">
        <v>20.136076296671298</v>
      </c>
      <c r="AK124">
        <v>19.964717657405401</v>
      </c>
      <c r="AL124" s="20">
        <v>14.6935297005178</v>
      </c>
      <c r="AM124" s="20">
        <v>49.286677397954101</v>
      </c>
      <c r="AN124" s="20" t="s">
        <v>58</v>
      </c>
    </row>
    <row r="125" spans="1:40" x14ac:dyDescent="0.25">
      <c r="A125" s="20">
        <v>123</v>
      </c>
      <c r="B125" s="20" t="s">
        <v>190</v>
      </c>
      <c r="C125" s="20" t="s">
        <v>61</v>
      </c>
      <c r="D125">
        <v>1</v>
      </c>
      <c r="E125" s="20" t="str">
        <f t="shared" si="1"/>
        <v>YAMA</v>
      </c>
      <c r="F125" s="20">
        <v>41.78</v>
      </c>
      <c r="G125" s="20">
        <v>144.08000000000001</v>
      </c>
      <c r="H125" s="20">
        <v>25</v>
      </c>
      <c r="I125" s="20">
        <v>8.0299999999999994</v>
      </c>
      <c r="J125" s="20">
        <v>230</v>
      </c>
      <c r="K125" s="20">
        <v>20</v>
      </c>
      <c r="L125" s="20">
        <v>109</v>
      </c>
      <c r="M125" s="20">
        <v>23.3</v>
      </c>
      <c r="N125" s="20">
        <v>12</v>
      </c>
      <c r="O125" s="20">
        <v>8</v>
      </c>
      <c r="P125" s="20">
        <v>10</v>
      </c>
      <c r="Q125" s="20">
        <v>10</v>
      </c>
      <c r="R125">
        <v>120</v>
      </c>
      <c r="S125">
        <v>80</v>
      </c>
      <c r="T125">
        <v>192.322916666667</v>
      </c>
      <c r="U125">
        <v>120</v>
      </c>
      <c r="V125">
        <v>80</v>
      </c>
      <c r="W125">
        <v>192.322916666667</v>
      </c>
      <c r="X125">
        <v>154.62862094924901</v>
      </c>
      <c r="Y125" s="20" t="s">
        <v>57</v>
      </c>
      <c r="Z125" s="28">
        <v>3200</v>
      </c>
      <c r="AA125">
        <v>1200</v>
      </c>
      <c r="AB125">
        <v>4400</v>
      </c>
      <c r="AC125">
        <v>71.063352017759499</v>
      </c>
      <c r="AD125">
        <v>7.0710678118654799</v>
      </c>
      <c r="AE125">
        <v>15.8113883008419</v>
      </c>
      <c r="AF125">
        <v>58.461752202348201</v>
      </c>
      <c r="AG125">
        <v>42.953154541134502</v>
      </c>
      <c r="AH125">
        <v>20.176018167881701</v>
      </c>
      <c r="AI125">
        <v>17.0990639528939</v>
      </c>
      <c r="AJ125">
        <v>19.598795506309202</v>
      </c>
      <c r="AK125">
        <v>18.5665588125533</v>
      </c>
      <c r="AL125" s="20">
        <v>37.0498733736028</v>
      </c>
      <c r="AM125" s="20">
        <v>35.8705473002574</v>
      </c>
      <c r="AN125" s="20" t="s">
        <v>58</v>
      </c>
    </row>
    <row r="126" spans="1:40" x14ac:dyDescent="0.25">
      <c r="A126" s="20">
        <v>124</v>
      </c>
      <c r="B126" s="20" t="s">
        <v>191</v>
      </c>
      <c r="C126" s="20" t="s">
        <v>63</v>
      </c>
      <c r="D126">
        <v>0</v>
      </c>
      <c r="E126" s="20" t="str">
        <f t="shared" si="1"/>
        <v>WEIx</v>
      </c>
      <c r="F126" s="20">
        <v>-3.9906000000000001</v>
      </c>
      <c r="G126" s="20">
        <v>135.05099999999999</v>
      </c>
      <c r="H126" s="20">
        <v>11.2362</v>
      </c>
      <c r="I126" s="20">
        <v>7.2</v>
      </c>
      <c r="J126" s="20">
        <v>261</v>
      </c>
      <c r="K126" s="20">
        <v>68</v>
      </c>
      <c r="L126" s="20">
        <v>-11.4667827218795</v>
      </c>
      <c r="M126" s="20">
        <v>1.96443229086643</v>
      </c>
      <c r="N126" s="20">
        <v>25</v>
      </c>
      <c r="O126" s="20">
        <v>7</v>
      </c>
      <c r="P126" s="20">
        <v>4</v>
      </c>
      <c r="Q126" s="20">
        <v>4</v>
      </c>
      <c r="R126">
        <v>100</v>
      </c>
      <c r="S126">
        <v>28</v>
      </c>
      <c r="T126">
        <v>102.97744857142899</v>
      </c>
      <c r="U126">
        <v>92</v>
      </c>
      <c r="V126">
        <v>28</v>
      </c>
      <c r="W126">
        <v>111.93200931677001</v>
      </c>
      <c r="X126">
        <v>113.179885214056</v>
      </c>
      <c r="Y126" s="20" t="s">
        <v>64</v>
      </c>
      <c r="Z126">
        <v>688</v>
      </c>
      <c r="AA126">
        <v>512</v>
      </c>
      <c r="AB126">
        <v>1200</v>
      </c>
      <c r="AC126">
        <v>0</v>
      </c>
      <c r="AD126">
        <v>2.8284271247461898</v>
      </c>
      <c r="AE126">
        <v>2.8284271247461898</v>
      </c>
      <c r="AF126">
        <v>42.302390425626498</v>
      </c>
      <c r="AG126">
        <v>18.799280921767998</v>
      </c>
      <c r="AH126">
        <v>14.0861599476002</v>
      </c>
      <c r="AI126">
        <v>9.1209382843551801</v>
      </c>
      <c r="AJ126">
        <v>8.5159427025754493</v>
      </c>
      <c r="AK126">
        <v>7.8282387880166597</v>
      </c>
      <c r="AL126" s="20">
        <v>19.758822347498299</v>
      </c>
      <c r="AM126" s="20">
        <v>18.206942414914199</v>
      </c>
      <c r="AN126" s="20" t="s">
        <v>58</v>
      </c>
    </row>
    <row r="127" spans="1:40" x14ac:dyDescent="0.25">
      <c r="A127" s="20">
        <v>125</v>
      </c>
      <c r="B127" s="20" t="s">
        <v>192</v>
      </c>
      <c r="C127" s="20" t="s">
        <v>61</v>
      </c>
      <c r="D127">
        <v>0</v>
      </c>
      <c r="E127" s="20" t="str">
        <f t="shared" si="1"/>
        <v>ASAN</v>
      </c>
      <c r="F127" s="20">
        <v>37.307000000000002</v>
      </c>
      <c r="G127" s="20">
        <v>138.839</v>
      </c>
      <c r="H127" s="20">
        <v>10.6</v>
      </c>
      <c r="I127" s="20">
        <v>6.62</v>
      </c>
      <c r="J127" s="20">
        <v>212</v>
      </c>
      <c r="K127" s="20">
        <v>47</v>
      </c>
      <c r="L127" s="20">
        <v>88.407300725130398</v>
      </c>
      <c r="M127" s="20">
        <v>1.1000000000000001</v>
      </c>
      <c r="N127" s="20">
        <v>14</v>
      </c>
      <c r="O127" s="20">
        <v>9</v>
      </c>
      <c r="P127" s="20">
        <v>2</v>
      </c>
      <c r="Q127" s="20">
        <v>2</v>
      </c>
      <c r="R127">
        <v>28</v>
      </c>
      <c r="S127">
        <v>18</v>
      </c>
      <c r="T127">
        <v>66.6079365079365</v>
      </c>
      <c r="U127">
        <v>28</v>
      </c>
      <c r="V127">
        <v>18</v>
      </c>
      <c r="W127">
        <v>66.6079365079365</v>
      </c>
      <c r="X127">
        <v>46.801193887634298</v>
      </c>
      <c r="Y127" s="20" t="s">
        <v>155</v>
      </c>
      <c r="Z127">
        <v>104</v>
      </c>
      <c r="AA127">
        <v>4</v>
      </c>
      <c r="AB127">
        <v>108</v>
      </c>
      <c r="AC127">
        <v>1.4142135623731</v>
      </c>
      <c r="AD127">
        <v>1.4142135623731</v>
      </c>
      <c r="AE127">
        <v>1.4142135623731</v>
      </c>
      <c r="AF127">
        <v>8.6365617543117992</v>
      </c>
      <c r="AG127">
        <v>7.3505899992344901</v>
      </c>
      <c r="AH127">
        <v>21.516793805030499</v>
      </c>
      <c r="AI127">
        <v>16.9030221481922</v>
      </c>
      <c r="AJ127">
        <v>3.5617892044903599</v>
      </c>
      <c r="AK127">
        <v>3.4635628478862999</v>
      </c>
      <c r="AL127" s="20">
        <v>0.272585289404986</v>
      </c>
      <c r="AM127" s="20">
        <v>3.75368800514907</v>
      </c>
      <c r="AN127" s="20" t="s">
        <v>58</v>
      </c>
    </row>
    <row r="128" spans="1:40" x14ac:dyDescent="0.25">
      <c r="A128" s="20">
        <v>126</v>
      </c>
      <c r="B128" s="20" t="s">
        <v>193</v>
      </c>
      <c r="C128" s="20" t="s">
        <v>63</v>
      </c>
      <c r="D128">
        <v>0</v>
      </c>
      <c r="E128" s="20" t="str">
        <f t="shared" si="1"/>
        <v>CUST</v>
      </c>
      <c r="F128" s="20">
        <v>35.8185</v>
      </c>
      <c r="G128" s="20">
        <v>-120.3706</v>
      </c>
      <c r="H128" s="20">
        <v>8.26</v>
      </c>
      <c r="I128" s="20">
        <v>6.06</v>
      </c>
      <c r="J128" s="20">
        <v>140</v>
      </c>
      <c r="K128" s="20">
        <v>87</v>
      </c>
      <c r="L128" s="20">
        <v>140.50687995979399</v>
      </c>
      <c r="M128" s="20">
        <v>0.5</v>
      </c>
      <c r="N128" s="20">
        <v>21</v>
      </c>
      <c r="O128" s="20">
        <v>9</v>
      </c>
      <c r="P128" s="20">
        <v>1.9</v>
      </c>
      <c r="Q128" s="20">
        <v>1.7</v>
      </c>
      <c r="R128">
        <v>40</v>
      </c>
      <c r="S128">
        <v>15</v>
      </c>
      <c r="T128">
        <v>6.8690543072533199</v>
      </c>
      <c r="U128">
        <v>38</v>
      </c>
      <c r="V128">
        <v>15.3</v>
      </c>
      <c r="W128">
        <v>7.2125070226159904</v>
      </c>
      <c r="X128">
        <v>9.1130065252366599</v>
      </c>
      <c r="Y128" s="20" t="s">
        <v>102</v>
      </c>
      <c r="Z128">
        <v>54.91</v>
      </c>
      <c r="AA128">
        <v>12.92</v>
      </c>
      <c r="AB128">
        <v>67.83</v>
      </c>
      <c r="AC128">
        <v>26.898579888165099</v>
      </c>
      <c r="AD128">
        <v>2.3176712450216099</v>
      </c>
      <c r="AE128">
        <v>0.25999999999999901</v>
      </c>
      <c r="AF128">
        <v>7.12434654976063</v>
      </c>
      <c r="AG128">
        <v>3.6856405571346</v>
      </c>
      <c r="AH128">
        <v>21.1502834111194</v>
      </c>
      <c r="AI128">
        <v>7.7623680022247603</v>
      </c>
      <c r="AJ128">
        <v>3.2839800245072102</v>
      </c>
      <c r="AK128">
        <v>2.6433755709440998</v>
      </c>
      <c r="AL128" s="20">
        <v>0.63142376420277402</v>
      </c>
      <c r="AM128" s="20">
        <v>18.070891600582399</v>
      </c>
      <c r="AN128" s="20" t="s">
        <v>58</v>
      </c>
    </row>
    <row r="129" spans="1:40" x14ac:dyDescent="0.25">
      <c r="A129" s="20">
        <v>127</v>
      </c>
      <c r="B129" s="20" t="s">
        <v>194</v>
      </c>
      <c r="C129" s="20" t="s">
        <v>63</v>
      </c>
      <c r="D129">
        <v>0</v>
      </c>
      <c r="E129" s="20" t="str">
        <f t="shared" si="1"/>
        <v>DREG</v>
      </c>
      <c r="F129" s="20">
        <v>35.8185</v>
      </c>
      <c r="G129" s="20">
        <v>-120.3706</v>
      </c>
      <c r="H129" s="20">
        <v>8.26</v>
      </c>
      <c r="I129" s="20">
        <v>6</v>
      </c>
      <c r="J129" s="20">
        <v>137</v>
      </c>
      <c r="K129" s="20">
        <v>80</v>
      </c>
      <c r="L129" s="20">
        <v>180</v>
      </c>
      <c r="M129" s="20">
        <v>0.1215</v>
      </c>
      <c r="N129" s="20">
        <v>18</v>
      </c>
      <c r="O129" s="20">
        <v>9</v>
      </c>
      <c r="P129" s="20">
        <v>1.88888888889</v>
      </c>
      <c r="Q129" s="20">
        <v>1.7222222222200001</v>
      </c>
      <c r="R129">
        <v>34</v>
      </c>
      <c r="S129">
        <v>15.5</v>
      </c>
      <c r="T129">
        <v>8.5270615370370404</v>
      </c>
      <c r="U129">
        <v>24.555555555569999</v>
      </c>
      <c r="V129">
        <v>12.05555555554</v>
      </c>
      <c r="W129">
        <v>15.1800436153846</v>
      </c>
      <c r="X129">
        <v>17.066414735987699</v>
      </c>
      <c r="Y129" s="20" t="s">
        <v>57</v>
      </c>
      <c r="Z129">
        <v>29.277777777757201</v>
      </c>
      <c r="AA129">
        <v>3.2530864197508</v>
      </c>
      <c r="AB129">
        <v>32.530864197508002</v>
      </c>
      <c r="AC129">
        <v>20.7499070353368</v>
      </c>
      <c r="AD129">
        <v>10.286032720909301</v>
      </c>
      <c r="AE129">
        <v>22.4719303648086</v>
      </c>
      <c r="AF129">
        <v>4.1236334983687</v>
      </c>
      <c r="AG129">
        <v>5.0799934838993197</v>
      </c>
      <c r="AH129">
        <v>6.5424162180998202</v>
      </c>
      <c r="AI129">
        <v>8.5903010265422406</v>
      </c>
      <c r="AJ129">
        <v>2.8511772689500798</v>
      </c>
      <c r="AK129">
        <v>2.8910213536860598</v>
      </c>
      <c r="AL129" s="20">
        <v>23.493082309735399</v>
      </c>
      <c r="AM129" s="20">
        <v>22.536115424550601</v>
      </c>
      <c r="AN129" s="20" t="s">
        <v>58</v>
      </c>
    </row>
    <row r="130" spans="1:40" x14ac:dyDescent="0.25">
      <c r="A130" s="20">
        <v>128</v>
      </c>
      <c r="B130" s="20" t="s">
        <v>195</v>
      </c>
      <c r="C130" s="20" t="s">
        <v>63</v>
      </c>
      <c r="D130">
        <v>0</v>
      </c>
      <c r="E130" s="20" t="str">
        <f t="shared" si="1"/>
        <v>JIxx</v>
      </c>
      <c r="F130" s="20">
        <v>35.823630000000001</v>
      </c>
      <c r="G130" s="20">
        <v>-120.36703</v>
      </c>
      <c r="H130" s="20">
        <v>8</v>
      </c>
      <c r="I130" s="20">
        <v>5.9</v>
      </c>
      <c r="J130" s="20">
        <v>137</v>
      </c>
      <c r="K130" s="20">
        <v>83</v>
      </c>
      <c r="L130" s="20">
        <v>-179.04397941113399</v>
      </c>
      <c r="M130" s="20">
        <v>8.4444040060041595E-2</v>
      </c>
      <c r="N130" s="20">
        <v>20</v>
      </c>
      <c r="O130" s="20">
        <v>10</v>
      </c>
      <c r="P130" s="20">
        <v>2</v>
      </c>
      <c r="Q130" s="20">
        <v>1.45</v>
      </c>
      <c r="R130">
        <v>40</v>
      </c>
      <c r="S130">
        <v>14.5</v>
      </c>
      <c r="T130">
        <v>6.42394395</v>
      </c>
      <c r="U130">
        <v>34</v>
      </c>
      <c r="V130">
        <v>13.05</v>
      </c>
      <c r="W130">
        <v>8.3973123529411708</v>
      </c>
      <c r="X130">
        <v>9.2146767732249408</v>
      </c>
      <c r="Y130" s="20" t="s">
        <v>64</v>
      </c>
      <c r="Z130">
        <v>75.400000000000006</v>
      </c>
      <c r="AA130">
        <v>20.3</v>
      </c>
      <c r="AB130">
        <v>95.7</v>
      </c>
      <c r="AC130">
        <v>21.8803707692534</v>
      </c>
      <c r="AD130">
        <v>1.2351619327035599</v>
      </c>
      <c r="AE130">
        <v>1.2351619327035599</v>
      </c>
      <c r="AF130">
        <v>7.6442904719882101</v>
      </c>
      <c r="AG130">
        <v>5.5504199525435398</v>
      </c>
      <c r="AH130">
        <v>4.8997784894567502</v>
      </c>
      <c r="AI130">
        <v>3.58686859060465</v>
      </c>
      <c r="AJ130">
        <v>3.5386297786249399</v>
      </c>
      <c r="AK130">
        <v>2.6290028478848901</v>
      </c>
      <c r="AL130" s="20">
        <v>0.93225600024885902</v>
      </c>
      <c r="AM130" s="20">
        <v>13.469818736716499</v>
      </c>
      <c r="AN130" s="20" t="s">
        <v>58</v>
      </c>
    </row>
    <row r="131" spans="1:40" x14ac:dyDescent="0.25">
      <c r="A131" s="20">
        <v>129</v>
      </c>
      <c r="B131" s="20" t="s">
        <v>196</v>
      </c>
      <c r="C131" s="20" t="s">
        <v>61</v>
      </c>
      <c r="D131">
        <v>1</v>
      </c>
      <c r="E131" s="20" t="str">
        <f t="shared" ref="E131:E194" si="2">RIGHT(B131,4)</f>
        <v>AMMO</v>
      </c>
      <c r="F131" s="20">
        <v>3.3</v>
      </c>
      <c r="G131" s="20">
        <v>95.78</v>
      </c>
      <c r="H131" s="20">
        <v>35</v>
      </c>
      <c r="I131" s="20">
        <v>9.1</v>
      </c>
      <c r="J131" s="20">
        <v>342</v>
      </c>
      <c r="K131" s="20">
        <v>15</v>
      </c>
      <c r="L131" s="20">
        <v>100.849937152595</v>
      </c>
      <c r="M131" s="20">
        <v>5</v>
      </c>
      <c r="N131" s="20">
        <v>74</v>
      </c>
      <c r="O131" s="20">
        <v>37</v>
      </c>
      <c r="P131" s="20">
        <v>20</v>
      </c>
      <c r="Q131" s="20">
        <v>16</v>
      </c>
      <c r="R131">
        <v>1480</v>
      </c>
      <c r="S131">
        <v>592</v>
      </c>
      <c r="T131">
        <v>294.302550675676</v>
      </c>
      <c r="U131">
        <v>1400</v>
      </c>
      <c r="V131">
        <v>224</v>
      </c>
      <c r="W131">
        <v>311.11983928571402</v>
      </c>
      <c r="X131">
        <v>266.88337668768401</v>
      </c>
      <c r="Y131" s="20" t="s">
        <v>57</v>
      </c>
      <c r="Z131">
        <v>89600</v>
      </c>
      <c r="AA131">
        <v>23040</v>
      </c>
      <c r="AB131">
        <v>112640</v>
      </c>
      <c r="AC131">
        <v>155.24174696259999</v>
      </c>
      <c r="AD131">
        <v>12.806248474865701</v>
      </c>
      <c r="AE131">
        <v>70.4556598152341</v>
      </c>
      <c r="AF131">
        <v>262.68013996517402</v>
      </c>
      <c r="AG131">
        <v>332.42319276831103</v>
      </c>
      <c r="AH131">
        <v>97.884204645284498</v>
      </c>
      <c r="AI131">
        <v>102.45221426995499</v>
      </c>
      <c r="AJ131">
        <v>44.465421506528301</v>
      </c>
      <c r="AK131">
        <v>37.595183067984998</v>
      </c>
      <c r="AL131" s="20">
        <v>174.54058792361201</v>
      </c>
      <c r="AM131" s="20">
        <v>587.84468502666596</v>
      </c>
      <c r="AN131" s="20" t="s">
        <v>58</v>
      </c>
    </row>
    <row r="132" spans="1:40" x14ac:dyDescent="0.25">
      <c r="A132" s="20">
        <v>130</v>
      </c>
      <c r="B132" s="20" t="s">
        <v>197</v>
      </c>
      <c r="C132" s="20" t="s">
        <v>61</v>
      </c>
      <c r="D132">
        <v>1</v>
      </c>
      <c r="E132" s="20" t="str">
        <f t="shared" si="2"/>
        <v>JIxx</v>
      </c>
      <c r="F132" s="20">
        <v>3.3</v>
      </c>
      <c r="G132" s="20">
        <v>95.78</v>
      </c>
      <c r="H132" s="20">
        <v>35</v>
      </c>
      <c r="I132" s="20">
        <v>8.89</v>
      </c>
      <c r="J132" s="20">
        <v>320</v>
      </c>
      <c r="K132" s="20">
        <v>11</v>
      </c>
      <c r="L132" s="20">
        <v>91.670961060880202</v>
      </c>
      <c r="M132" s="20">
        <v>5.92</v>
      </c>
      <c r="N132" s="20">
        <v>30</v>
      </c>
      <c r="O132" s="20">
        <v>15</v>
      </c>
      <c r="P132" s="20">
        <v>15</v>
      </c>
      <c r="Q132" s="20">
        <v>12</v>
      </c>
      <c r="R132">
        <v>450</v>
      </c>
      <c r="S132">
        <v>180</v>
      </c>
      <c r="T132">
        <v>676.98230311111104</v>
      </c>
      <c r="U132">
        <v>450</v>
      </c>
      <c r="V132">
        <v>180</v>
      </c>
      <c r="W132">
        <v>676.98230311111104</v>
      </c>
      <c r="X132">
        <v>454.14339860859099</v>
      </c>
      <c r="Y132" s="20" t="s">
        <v>57</v>
      </c>
      <c r="Z132" s="28">
        <v>30060</v>
      </c>
      <c r="AA132">
        <v>8460</v>
      </c>
      <c r="AB132">
        <v>38520</v>
      </c>
      <c r="AC132">
        <v>23.28626204439</v>
      </c>
      <c r="AD132">
        <v>9.6046863561492692</v>
      </c>
      <c r="AE132">
        <v>127.641098397029</v>
      </c>
      <c r="AF132">
        <v>449.99999999773001</v>
      </c>
      <c r="AG132">
        <v>179.99999999981401</v>
      </c>
      <c r="AH132">
        <v>73.5524022284023</v>
      </c>
      <c r="AI132">
        <v>53.707967622476502</v>
      </c>
      <c r="AJ132">
        <v>36.261238413701498</v>
      </c>
      <c r="AK132">
        <v>28.377812138460499</v>
      </c>
      <c r="AL132" s="20">
        <v>161.49532379861699</v>
      </c>
      <c r="AM132" s="20">
        <v>188.15620598133299</v>
      </c>
      <c r="AN132" s="20" t="s">
        <v>58</v>
      </c>
    </row>
    <row r="133" spans="1:40" x14ac:dyDescent="0.25">
      <c r="A133" s="20">
        <v>131</v>
      </c>
      <c r="B133" s="20" t="s">
        <v>198</v>
      </c>
      <c r="C133" s="20" t="s">
        <v>61</v>
      </c>
      <c r="D133">
        <v>0</v>
      </c>
      <c r="E133" s="20" t="str">
        <f t="shared" si="2"/>
        <v>RHIE</v>
      </c>
      <c r="F133" s="20">
        <v>3.12</v>
      </c>
      <c r="G133" s="20">
        <v>95.49</v>
      </c>
      <c r="H133" s="20">
        <v>27</v>
      </c>
      <c r="I133" s="20">
        <v>9.19</v>
      </c>
      <c r="J133" s="20">
        <v>-99</v>
      </c>
      <c r="K133" s="20">
        <v>16.332999999999998</v>
      </c>
      <c r="L133" s="20">
        <v>105.38028678779401</v>
      </c>
      <c r="M133" s="20">
        <v>0</v>
      </c>
      <c r="N133" s="20">
        <v>42</v>
      </c>
      <c r="O133" s="20">
        <v>6</v>
      </c>
      <c r="P133" s="20">
        <v>32.34845</v>
      </c>
      <c r="Q133" s="20">
        <v>33.273249999999997</v>
      </c>
      <c r="R133">
        <v>1355</v>
      </c>
      <c r="S133">
        <v>192.1</v>
      </c>
      <c r="T133">
        <v>816.27976190476204</v>
      </c>
      <c r="U133">
        <v>938.10505000000001</v>
      </c>
      <c r="V133">
        <v>199.6395</v>
      </c>
      <c r="W133">
        <v>1182.19827586207</v>
      </c>
      <c r="X133">
        <v>918.33835848418801</v>
      </c>
      <c r="Y133" s="20" t="s">
        <v>76</v>
      </c>
      <c r="Z133">
        <v>59198.593517937501</v>
      </c>
      <c r="AA133">
        <v>8610.7045116999998</v>
      </c>
      <c r="AB133">
        <v>67809.298029637503</v>
      </c>
      <c r="AC133">
        <v>285.55476352707302</v>
      </c>
      <c r="AD133">
        <v>117.99912205446699</v>
      </c>
      <c r="AE133">
        <v>182.63691922851999</v>
      </c>
      <c r="AF133">
        <v>560.298244396781</v>
      </c>
      <c r="AG133">
        <v>192.09993627802899</v>
      </c>
      <c r="AH133">
        <v>404.34912145182699</v>
      </c>
      <c r="AI133">
        <v>163.32412295669599</v>
      </c>
      <c r="AJ133">
        <v>68.427918830566099</v>
      </c>
      <c r="AK133">
        <v>63.950963220680102</v>
      </c>
      <c r="AL133" s="20">
        <v>255.93340272454199</v>
      </c>
      <c r="AM133" s="20">
        <v>371.55860611560701</v>
      </c>
      <c r="AN133" s="20" t="s">
        <v>58</v>
      </c>
    </row>
    <row r="134" spans="1:40" x14ac:dyDescent="0.25">
      <c r="A134" s="20">
        <v>132</v>
      </c>
      <c r="B134" s="20" t="s">
        <v>199</v>
      </c>
      <c r="C134" s="20" t="s">
        <v>80</v>
      </c>
      <c r="D134">
        <v>0</v>
      </c>
      <c r="E134" s="20" t="str">
        <f t="shared" si="2"/>
        <v>ELLI</v>
      </c>
      <c r="F134" s="20">
        <v>30.73</v>
      </c>
      <c r="G134" s="20">
        <v>83.83</v>
      </c>
      <c r="H134" s="20">
        <v>10</v>
      </c>
      <c r="I134" s="20">
        <v>6.2</v>
      </c>
      <c r="J134" s="20">
        <v>179</v>
      </c>
      <c r="K134" s="20">
        <v>50</v>
      </c>
      <c r="L134" s="20">
        <v>-78</v>
      </c>
      <c r="M134" s="20">
        <v>0</v>
      </c>
      <c r="N134" s="20">
        <v>20</v>
      </c>
      <c r="O134" s="20">
        <v>20</v>
      </c>
      <c r="P134" s="20">
        <v>1</v>
      </c>
      <c r="Q134" s="20">
        <v>1.3054072893322799</v>
      </c>
      <c r="R134">
        <v>20</v>
      </c>
      <c r="S134">
        <v>26.108145786645601</v>
      </c>
      <c r="T134">
        <v>13.567500000000001</v>
      </c>
      <c r="U134">
        <v>14</v>
      </c>
      <c r="V134">
        <v>19.581109339984199</v>
      </c>
      <c r="W134">
        <v>25.842857142857099</v>
      </c>
      <c r="X134">
        <v>21.3272386651483</v>
      </c>
      <c r="Y134" s="20" t="s">
        <v>110</v>
      </c>
      <c r="Z134">
        <v>73.102808202607605</v>
      </c>
      <c r="AA134">
        <v>52.216291573291102</v>
      </c>
      <c r="AB134">
        <v>125.31909977589901</v>
      </c>
      <c r="AC134">
        <v>0</v>
      </c>
      <c r="AD134">
        <v>2.3850888337991201</v>
      </c>
      <c r="AE134">
        <v>5.9271066772126398E-3</v>
      </c>
      <c r="AF134">
        <v>19.9999997261666</v>
      </c>
      <c r="AG134">
        <v>26.108140313149299</v>
      </c>
      <c r="AH134">
        <v>4.8238235327141998</v>
      </c>
      <c r="AI134">
        <v>5.68446336865955</v>
      </c>
      <c r="AJ134">
        <v>2.4010270258553899</v>
      </c>
      <c r="AK134">
        <v>3.07056519250402</v>
      </c>
      <c r="AL134" s="20">
        <v>1.1587620333787301</v>
      </c>
      <c r="AM134" s="20">
        <v>1.1716238048110801</v>
      </c>
      <c r="AN134" s="20" t="s">
        <v>58</v>
      </c>
    </row>
    <row r="135" spans="1:40" x14ac:dyDescent="0.25">
      <c r="A135" s="20">
        <v>133</v>
      </c>
      <c r="B135" s="20" t="s">
        <v>200</v>
      </c>
      <c r="C135" s="20" t="s">
        <v>63</v>
      </c>
      <c r="D135">
        <v>0</v>
      </c>
      <c r="E135" s="20" t="str">
        <f t="shared" si="2"/>
        <v>ASAN</v>
      </c>
      <c r="F135" s="20">
        <v>33.75</v>
      </c>
      <c r="G135" s="20">
        <v>130.16</v>
      </c>
      <c r="H135" s="20">
        <v>14</v>
      </c>
      <c r="I135" s="20">
        <v>6.64</v>
      </c>
      <c r="J135" s="20">
        <v>122</v>
      </c>
      <c r="K135" s="20">
        <v>87</v>
      </c>
      <c r="L135" s="20">
        <v>0.29152273135655299</v>
      </c>
      <c r="M135" s="20">
        <v>1</v>
      </c>
      <c r="N135" s="20">
        <v>13</v>
      </c>
      <c r="O135" s="20">
        <v>9</v>
      </c>
      <c r="P135" s="20">
        <v>2</v>
      </c>
      <c r="Q135" s="20">
        <v>2</v>
      </c>
      <c r="R135">
        <v>26</v>
      </c>
      <c r="S135">
        <v>18</v>
      </c>
      <c r="T135">
        <v>78.361538461538501</v>
      </c>
      <c r="U135">
        <v>26</v>
      </c>
      <c r="V135">
        <v>18</v>
      </c>
      <c r="W135">
        <v>78.361538461538501</v>
      </c>
      <c r="X135">
        <v>62.2464488616708</v>
      </c>
      <c r="Y135" s="20" t="s">
        <v>155</v>
      </c>
      <c r="Z135">
        <v>64</v>
      </c>
      <c r="AA135">
        <v>32</v>
      </c>
      <c r="AB135">
        <v>96</v>
      </c>
      <c r="AC135">
        <v>7.0710678118654799</v>
      </c>
      <c r="AD135">
        <v>5.0990195135927801</v>
      </c>
      <c r="AE135">
        <v>4.2426406871192901</v>
      </c>
      <c r="AF135">
        <v>8.3061562307948904</v>
      </c>
      <c r="AG135">
        <v>5.9231551280657904</v>
      </c>
      <c r="AH135">
        <v>13.5157597867451</v>
      </c>
      <c r="AI135">
        <v>8.9736647066622197</v>
      </c>
      <c r="AJ135">
        <v>3.6193795714557302</v>
      </c>
      <c r="AK135">
        <v>3.2542056429784099</v>
      </c>
      <c r="AL135" s="20">
        <v>9.0362885638961306</v>
      </c>
      <c r="AM135" s="20">
        <v>7.4622136997006496</v>
      </c>
      <c r="AN135" s="20" t="s">
        <v>58</v>
      </c>
    </row>
    <row r="136" spans="1:40" x14ac:dyDescent="0.25">
      <c r="A136" s="20">
        <v>134</v>
      </c>
      <c r="B136" s="20" t="s">
        <v>201</v>
      </c>
      <c r="C136" s="20" t="s">
        <v>63</v>
      </c>
      <c r="D136">
        <v>0</v>
      </c>
      <c r="E136" s="20" t="str">
        <f t="shared" si="2"/>
        <v>ASAN</v>
      </c>
      <c r="F136" s="20">
        <v>33.67</v>
      </c>
      <c r="G136" s="20">
        <v>130.29</v>
      </c>
      <c r="H136" s="20">
        <v>13</v>
      </c>
      <c r="I136" s="20">
        <v>5.57</v>
      </c>
      <c r="J136" s="20">
        <v>132</v>
      </c>
      <c r="K136" s="20">
        <v>90</v>
      </c>
      <c r="L136" s="20">
        <v>-6.8817791532083197</v>
      </c>
      <c r="M136" s="20">
        <v>9.5</v>
      </c>
      <c r="N136" s="20">
        <v>8</v>
      </c>
      <c r="O136" s="20">
        <v>8</v>
      </c>
      <c r="P136" s="20">
        <v>1</v>
      </c>
      <c r="Q136" s="20">
        <v>1</v>
      </c>
      <c r="R136">
        <v>8</v>
      </c>
      <c r="S136">
        <v>8</v>
      </c>
      <c r="T136">
        <v>13.578906249999999</v>
      </c>
      <c r="U136">
        <v>8</v>
      </c>
      <c r="V136">
        <v>8</v>
      </c>
      <c r="W136">
        <v>13.578906249999999</v>
      </c>
      <c r="X136">
        <v>12.056235706871499</v>
      </c>
      <c r="Y136" s="20" t="s">
        <v>155</v>
      </c>
      <c r="Z136">
        <v>14</v>
      </c>
      <c r="AA136">
        <v>6</v>
      </c>
      <c r="AB136">
        <v>20</v>
      </c>
      <c r="AC136">
        <v>2.1213203435596402</v>
      </c>
      <c r="AD136">
        <v>0.70710678118654802</v>
      </c>
      <c r="AE136">
        <v>0.70710678118654802</v>
      </c>
      <c r="AF136">
        <v>2.33329109742736</v>
      </c>
      <c r="AG136">
        <v>2.49836818425669</v>
      </c>
      <c r="AH136">
        <v>4.7585146009113197</v>
      </c>
      <c r="AI136">
        <v>5.2346278942142401</v>
      </c>
      <c r="AJ136">
        <v>1.51887224026658</v>
      </c>
      <c r="AK136">
        <v>1.6126228051702101</v>
      </c>
      <c r="AL136" s="20">
        <v>0.77679336377185904</v>
      </c>
      <c r="AM136" s="20">
        <v>1.51045838406757</v>
      </c>
      <c r="AN136" s="20" t="s">
        <v>58</v>
      </c>
    </row>
    <row r="137" spans="1:40" x14ac:dyDescent="0.25">
      <c r="A137" s="20">
        <v>135</v>
      </c>
      <c r="B137" s="20" t="s">
        <v>202</v>
      </c>
      <c r="C137" s="20" t="s">
        <v>61</v>
      </c>
      <c r="D137">
        <v>1</v>
      </c>
      <c r="E137" s="20" t="str">
        <f t="shared" si="2"/>
        <v>SHAO</v>
      </c>
      <c r="F137" s="20">
        <v>38.239800000000002</v>
      </c>
      <c r="G137" s="20">
        <v>142.04580999999999</v>
      </c>
      <c r="H137" s="20">
        <v>34.496499999999997</v>
      </c>
      <c r="I137" s="20">
        <v>7.5</v>
      </c>
      <c r="J137" s="20">
        <v>24</v>
      </c>
      <c r="K137" s="20">
        <v>70</v>
      </c>
      <c r="L137" s="20">
        <v>90.158017303128702</v>
      </c>
      <c r="M137" s="20">
        <v>15.702629516856399</v>
      </c>
      <c r="N137" s="20">
        <v>14</v>
      </c>
      <c r="O137" s="20">
        <v>9</v>
      </c>
      <c r="P137" s="20">
        <v>8</v>
      </c>
      <c r="Q137" s="20">
        <v>8</v>
      </c>
      <c r="R137">
        <v>112</v>
      </c>
      <c r="S137">
        <v>72</v>
      </c>
      <c r="T137">
        <v>14.7090029365079</v>
      </c>
      <c r="U137">
        <v>80</v>
      </c>
      <c r="V137">
        <v>48</v>
      </c>
      <c r="W137">
        <v>30.8889061666667</v>
      </c>
      <c r="X137">
        <v>36.029350556359901</v>
      </c>
      <c r="Y137" s="20" t="s">
        <v>57</v>
      </c>
      <c r="Z137">
        <v>704</v>
      </c>
      <c r="AA137">
        <v>256</v>
      </c>
      <c r="AB137">
        <v>960</v>
      </c>
      <c r="AC137">
        <v>20.396078054371099</v>
      </c>
      <c r="AD137">
        <v>5.6568542494923797</v>
      </c>
      <c r="AE137">
        <v>5.6568542494923797</v>
      </c>
      <c r="AF137">
        <v>45.448095309158099</v>
      </c>
      <c r="AG137">
        <v>32.317111504331301</v>
      </c>
      <c r="AH137">
        <v>15.734982568221</v>
      </c>
      <c r="AI137">
        <v>13.2627039193711</v>
      </c>
      <c r="AJ137">
        <v>15.989732663677501</v>
      </c>
      <c r="AK137">
        <v>14.9871542019257</v>
      </c>
      <c r="AL137" s="20">
        <v>13.6243801213119</v>
      </c>
      <c r="AM137" s="20">
        <v>13.4611909194543</v>
      </c>
      <c r="AN137" s="20" t="s">
        <v>58</v>
      </c>
    </row>
    <row r="138" spans="1:40" x14ac:dyDescent="0.25">
      <c r="A138" s="20">
        <v>136</v>
      </c>
      <c r="B138" s="20" t="s">
        <v>203</v>
      </c>
      <c r="C138" s="20" t="s">
        <v>56</v>
      </c>
      <c r="D138">
        <v>0</v>
      </c>
      <c r="E138" s="20" t="str">
        <f t="shared" si="2"/>
        <v>SHAO</v>
      </c>
      <c r="F138" s="20">
        <v>34.481299999999997</v>
      </c>
      <c r="G138" s="20">
        <v>73.625900000000001</v>
      </c>
      <c r="H138" s="20">
        <v>10.5152</v>
      </c>
      <c r="I138" s="20">
        <v>7.6</v>
      </c>
      <c r="J138" s="20">
        <v>331</v>
      </c>
      <c r="K138" s="20">
        <v>29</v>
      </c>
      <c r="L138" s="20">
        <v>125.25645440854299</v>
      </c>
      <c r="M138" s="20">
        <v>-0.39304329110851699</v>
      </c>
      <c r="N138" s="20">
        <v>14</v>
      </c>
      <c r="O138" s="20">
        <v>6</v>
      </c>
      <c r="P138" s="20">
        <v>9</v>
      </c>
      <c r="Q138" s="20">
        <v>9</v>
      </c>
      <c r="R138">
        <v>126</v>
      </c>
      <c r="S138">
        <v>54</v>
      </c>
      <c r="T138">
        <v>175.08791214285699</v>
      </c>
      <c r="U138">
        <v>108</v>
      </c>
      <c r="V138">
        <v>45</v>
      </c>
      <c r="W138">
        <v>245.12307699999999</v>
      </c>
      <c r="X138">
        <v>204.27383073096101</v>
      </c>
      <c r="Y138" s="20" t="s">
        <v>64</v>
      </c>
      <c r="Z138">
        <v>1053</v>
      </c>
      <c r="AA138">
        <v>972</v>
      </c>
      <c r="AB138">
        <v>2025</v>
      </c>
      <c r="AC138">
        <v>63.957016815983501</v>
      </c>
      <c r="AD138">
        <v>6.3639610306789303</v>
      </c>
      <c r="AE138">
        <v>6.3639610306789303</v>
      </c>
      <c r="AF138">
        <v>110.236881431567</v>
      </c>
      <c r="AG138">
        <v>13.438103282170101</v>
      </c>
      <c r="AH138">
        <v>31.181403947421401</v>
      </c>
      <c r="AI138">
        <v>12.1349831749327</v>
      </c>
      <c r="AJ138">
        <v>19.455078899733</v>
      </c>
      <c r="AK138">
        <v>17.195545556157899</v>
      </c>
      <c r="AL138" s="20">
        <v>10.638510956426201</v>
      </c>
      <c r="AM138" s="20">
        <v>7.4440180655342303</v>
      </c>
      <c r="AN138" s="20" t="s">
        <v>58</v>
      </c>
    </row>
    <row r="139" spans="1:40" x14ac:dyDescent="0.25">
      <c r="A139" s="20">
        <v>137</v>
      </c>
      <c r="B139" s="20" t="s">
        <v>204</v>
      </c>
      <c r="C139" s="20" t="s">
        <v>63</v>
      </c>
      <c r="D139">
        <v>0</v>
      </c>
      <c r="E139" s="20" t="str">
        <f t="shared" si="2"/>
        <v>SHAO</v>
      </c>
      <c r="F139" s="20">
        <v>41.293199999999999</v>
      </c>
      <c r="G139" s="20">
        <v>-125.9812</v>
      </c>
      <c r="H139" s="20">
        <v>9.0038</v>
      </c>
      <c r="I139" s="20">
        <v>7.2</v>
      </c>
      <c r="J139" s="20">
        <v>47</v>
      </c>
      <c r="K139" s="20">
        <v>85</v>
      </c>
      <c r="L139" s="20">
        <v>2.1023088821662599</v>
      </c>
      <c r="M139" s="20">
        <v>1.53231325477064</v>
      </c>
      <c r="N139" s="20">
        <v>17</v>
      </c>
      <c r="O139" s="20">
        <v>7</v>
      </c>
      <c r="P139" s="20">
        <v>6</v>
      </c>
      <c r="Q139" s="20">
        <v>5</v>
      </c>
      <c r="R139">
        <v>102</v>
      </c>
      <c r="S139">
        <v>35</v>
      </c>
      <c r="T139">
        <v>67.187490840336096</v>
      </c>
      <c r="U139">
        <v>90</v>
      </c>
      <c r="V139">
        <v>30</v>
      </c>
      <c r="W139">
        <v>88.836793444444396</v>
      </c>
      <c r="X139">
        <v>87.846251549845803</v>
      </c>
      <c r="Y139" s="20" t="s">
        <v>64</v>
      </c>
      <c r="Z139">
        <v>540</v>
      </c>
      <c r="AA139">
        <v>360</v>
      </c>
      <c r="AB139">
        <v>900</v>
      </c>
      <c r="AC139">
        <v>55.509008277936303</v>
      </c>
      <c r="AD139">
        <v>3.9051248379533301</v>
      </c>
      <c r="AE139">
        <v>3.9051248379533301</v>
      </c>
      <c r="AF139">
        <v>79.872233410859593</v>
      </c>
      <c r="AG139">
        <v>11.6083272620483</v>
      </c>
      <c r="AH139">
        <v>20.104012202406199</v>
      </c>
      <c r="AI139">
        <v>7.69112070610392</v>
      </c>
      <c r="AJ139">
        <v>13.481932887088901</v>
      </c>
      <c r="AK139">
        <v>9.6491841813584305</v>
      </c>
      <c r="AL139" s="20">
        <v>10.026128083163499</v>
      </c>
      <c r="AM139" s="20">
        <v>9.0727428190156498</v>
      </c>
      <c r="AN139" s="20" t="s">
        <v>58</v>
      </c>
    </row>
    <row r="140" spans="1:40" x14ac:dyDescent="0.25">
      <c r="A140" s="20">
        <v>138</v>
      </c>
      <c r="B140" s="20" t="s">
        <v>205</v>
      </c>
      <c r="C140" s="20" t="s">
        <v>61</v>
      </c>
      <c r="D140">
        <v>1</v>
      </c>
      <c r="E140" s="20" t="str">
        <f t="shared" si="2"/>
        <v>JIxx</v>
      </c>
      <c r="F140" s="20">
        <v>2.0099999999999998</v>
      </c>
      <c r="G140" s="20">
        <v>97.01</v>
      </c>
      <c r="H140" s="20">
        <v>40</v>
      </c>
      <c r="I140" s="20">
        <v>8.6999999999999993</v>
      </c>
      <c r="J140" s="20">
        <v>325</v>
      </c>
      <c r="K140" s="20">
        <v>15</v>
      </c>
      <c r="L140" s="20">
        <v>98.307800885651105</v>
      </c>
      <c r="M140" s="20">
        <v>4.8006076391798302</v>
      </c>
      <c r="N140" s="20">
        <v>20</v>
      </c>
      <c r="O140" s="20">
        <v>12</v>
      </c>
      <c r="P140" s="20">
        <v>20</v>
      </c>
      <c r="Q140" s="20">
        <v>16</v>
      </c>
      <c r="R140">
        <v>400</v>
      </c>
      <c r="S140">
        <v>192</v>
      </c>
      <c r="T140">
        <v>332.56118966666702</v>
      </c>
      <c r="U140">
        <v>380</v>
      </c>
      <c r="V140">
        <v>192</v>
      </c>
      <c r="W140">
        <v>350.06441017543898</v>
      </c>
      <c r="X140">
        <v>256.02907021774797</v>
      </c>
      <c r="Y140" s="20" t="s">
        <v>64</v>
      </c>
      <c r="Z140">
        <v>16320</v>
      </c>
      <c r="AA140">
        <v>2240</v>
      </c>
      <c r="AB140">
        <v>18560</v>
      </c>
      <c r="AC140">
        <v>166.481230173254</v>
      </c>
      <c r="AD140">
        <v>12.806248474865701</v>
      </c>
      <c r="AE140">
        <v>12.806248474865701</v>
      </c>
      <c r="AF140">
        <v>189.4493847116</v>
      </c>
      <c r="AG140">
        <v>140.42424586467399</v>
      </c>
      <c r="AH140">
        <v>67.283057572315698</v>
      </c>
      <c r="AI140">
        <v>51.913893920619898</v>
      </c>
      <c r="AJ140">
        <v>41.928611457223603</v>
      </c>
      <c r="AK140">
        <v>33.6487393939572</v>
      </c>
      <c r="AL140" s="20">
        <v>26.583114401815301</v>
      </c>
      <c r="AM140" s="20">
        <v>49.960278347503198</v>
      </c>
      <c r="AN140" s="20" t="s">
        <v>58</v>
      </c>
    </row>
    <row r="141" spans="1:40" x14ac:dyDescent="0.25">
      <c r="A141" s="20">
        <v>139</v>
      </c>
      <c r="B141" s="20" t="s">
        <v>206</v>
      </c>
      <c r="C141" s="20" t="s">
        <v>61</v>
      </c>
      <c r="D141">
        <v>1</v>
      </c>
      <c r="E141" s="20" t="str">
        <f t="shared" si="2"/>
        <v>KONC</v>
      </c>
      <c r="F141" s="20">
        <v>2.0455299999999998</v>
      </c>
      <c r="G141" s="20">
        <v>97.008200000000002</v>
      </c>
      <c r="H141" s="20">
        <v>29.603090000000002</v>
      </c>
      <c r="I141" s="20">
        <v>8.5</v>
      </c>
      <c r="J141" s="20">
        <v>325</v>
      </c>
      <c r="K141" s="20">
        <v>10</v>
      </c>
      <c r="L141" s="20">
        <v>89.9029180274634</v>
      </c>
      <c r="M141" s="20">
        <v>3.2085645786645598</v>
      </c>
      <c r="N141" s="20">
        <v>26</v>
      </c>
      <c r="O141" s="20">
        <v>20</v>
      </c>
      <c r="P141" s="20">
        <v>16</v>
      </c>
      <c r="Q141" s="20">
        <v>16</v>
      </c>
      <c r="R141">
        <v>416</v>
      </c>
      <c r="S141">
        <v>320</v>
      </c>
      <c r="T141">
        <v>119.384615384615</v>
      </c>
      <c r="U141">
        <v>304</v>
      </c>
      <c r="V141">
        <v>192</v>
      </c>
      <c r="W141">
        <v>272.28070175438597</v>
      </c>
      <c r="X141">
        <v>335.92981534873098</v>
      </c>
      <c r="Y141" s="20" t="s">
        <v>64</v>
      </c>
      <c r="Z141">
        <v>5120</v>
      </c>
      <c r="AA141">
        <v>1536</v>
      </c>
      <c r="AB141">
        <v>6656</v>
      </c>
      <c r="AC141">
        <v>111.427106217473</v>
      </c>
      <c r="AD141">
        <v>40.792156108742297</v>
      </c>
      <c r="AE141">
        <v>56.568542494923797</v>
      </c>
      <c r="AF141">
        <v>117.614660858164</v>
      </c>
      <c r="AG141">
        <v>76.8354767861114</v>
      </c>
      <c r="AH141">
        <v>37.072218522473797</v>
      </c>
      <c r="AI141">
        <v>29.144699782480199</v>
      </c>
      <c r="AJ141">
        <v>33.192224277041397</v>
      </c>
      <c r="AK141">
        <v>30.1130764380047</v>
      </c>
      <c r="AL141" s="20">
        <v>73.658090870456306</v>
      </c>
      <c r="AM141" s="20">
        <v>79.630376266661003</v>
      </c>
      <c r="AN141" s="20" t="s">
        <v>58</v>
      </c>
    </row>
    <row r="142" spans="1:40" x14ac:dyDescent="0.25">
      <c r="A142" s="20">
        <v>140</v>
      </c>
      <c r="B142" s="20" t="s">
        <v>207</v>
      </c>
      <c r="C142" s="20" t="s">
        <v>61</v>
      </c>
      <c r="D142">
        <v>1</v>
      </c>
      <c r="E142" s="20" t="str">
        <f t="shared" si="2"/>
        <v>SHAO</v>
      </c>
      <c r="F142" s="20">
        <v>2.0623</v>
      </c>
      <c r="G142" s="20">
        <v>97.104799999999997</v>
      </c>
      <c r="H142" s="20">
        <v>25.6907</v>
      </c>
      <c r="I142" s="20">
        <v>8.68</v>
      </c>
      <c r="J142" s="20">
        <v>326</v>
      </c>
      <c r="K142" s="20">
        <v>8</v>
      </c>
      <c r="L142" s="20">
        <v>117.030795453103</v>
      </c>
      <c r="M142" s="20">
        <v>7.5982689903993501</v>
      </c>
      <c r="N142" s="20">
        <v>19</v>
      </c>
      <c r="O142" s="20">
        <v>13</v>
      </c>
      <c r="P142" s="20">
        <v>20</v>
      </c>
      <c r="Q142" s="20">
        <v>20</v>
      </c>
      <c r="R142">
        <v>380</v>
      </c>
      <c r="S142">
        <v>260</v>
      </c>
      <c r="T142">
        <v>255.670333562753</v>
      </c>
      <c r="U142">
        <v>340</v>
      </c>
      <c r="V142">
        <v>220</v>
      </c>
      <c r="W142">
        <v>337.703595668449</v>
      </c>
      <c r="X142">
        <v>310.76503279805701</v>
      </c>
      <c r="Y142" s="20" t="s">
        <v>64</v>
      </c>
      <c r="Z142">
        <v>16400</v>
      </c>
      <c r="AA142">
        <v>5200</v>
      </c>
      <c r="AB142">
        <v>21600</v>
      </c>
      <c r="AC142">
        <v>110.453610171873</v>
      </c>
      <c r="AD142">
        <v>14.142135623731001</v>
      </c>
      <c r="AE142">
        <v>31.6227766016838</v>
      </c>
      <c r="AF142">
        <v>173.718483033502</v>
      </c>
      <c r="AG142">
        <v>132.33437264799599</v>
      </c>
      <c r="AH142">
        <v>58.120868289755997</v>
      </c>
      <c r="AI142">
        <v>49.807805242201702</v>
      </c>
      <c r="AJ142">
        <v>41.647097995222701</v>
      </c>
      <c r="AK142">
        <v>40.1057582052022</v>
      </c>
      <c r="AL142" s="20">
        <v>119.68939311087701</v>
      </c>
      <c r="AM142" s="20">
        <v>95.629422450206206</v>
      </c>
      <c r="AN142" s="20" t="s">
        <v>58</v>
      </c>
    </row>
    <row r="143" spans="1:40" x14ac:dyDescent="0.25">
      <c r="A143" s="20">
        <v>141</v>
      </c>
      <c r="B143" s="20" t="s">
        <v>208</v>
      </c>
      <c r="C143" s="20" t="s">
        <v>80</v>
      </c>
      <c r="D143">
        <v>0</v>
      </c>
      <c r="E143" s="20" t="str">
        <f t="shared" si="2"/>
        <v>ELLI</v>
      </c>
      <c r="F143" s="20">
        <v>29.76</v>
      </c>
      <c r="G143" s="20">
        <v>90.43</v>
      </c>
      <c r="H143" s="20">
        <v>5.98</v>
      </c>
      <c r="I143" s="20">
        <v>6.2</v>
      </c>
      <c r="J143" s="20">
        <v>174</v>
      </c>
      <c r="K143" s="20">
        <v>40</v>
      </c>
      <c r="L143" s="20">
        <v>-68</v>
      </c>
      <c r="M143" s="20">
        <v>0</v>
      </c>
      <c r="N143" s="20">
        <v>28</v>
      </c>
      <c r="O143" s="20">
        <v>12</v>
      </c>
      <c r="P143" s="20">
        <v>1</v>
      </c>
      <c r="Q143" s="20">
        <v>1.5557238268604101</v>
      </c>
      <c r="R143">
        <v>28</v>
      </c>
      <c r="S143">
        <v>18.668685922325</v>
      </c>
      <c r="T143">
        <v>18.681547619047599</v>
      </c>
      <c r="U143">
        <v>19</v>
      </c>
      <c r="V143">
        <v>14.0015144417437</v>
      </c>
      <c r="W143">
        <v>36.7076023391813</v>
      </c>
      <c r="X143">
        <v>39.715079762546402</v>
      </c>
      <c r="Y143" s="20" t="s">
        <v>110</v>
      </c>
      <c r="Z143">
        <v>48.227438632672801</v>
      </c>
      <c r="AA143">
        <v>40.448819498370703</v>
      </c>
      <c r="AB143">
        <v>88.676258131043497</v>
      </c>
      <c r="AC143">
        <v>13.4444685308102</v>
      </c>
      <c r="AD143">
        <v>3.4342961162474601E-2</v>
      </c>
      <c r="AE143">
        <v>3.4342961162474601E-2</v>
      </c>
      <c r="AF143">
        <v>27.999999542275098</v>
      </c>
      <c r="AG143">
        <v>17.4001781341371</v>
      </c>
      <c r="AH143">
        <v>5.7572700159026002</v>
      </c>
      <c r="AI143">
        <v>5.2455116826654704</v>
      </c>
      <c r="AJ143">
        <v>2.4447480683848899</v>
      </c>
      <c r="AK143">
        <v>3.67367333502495</v>
      </c>
      <c r="AL143" s="20">
        <v>1.4518681620588001</v>
      </c>
      <c r="AM143" s="20">
        <v>1.24700120288635</v>
      </c>
      <c r="AN143" s="20" t="s">
        <v>58</v>
      </c>
    </row>
    <row r="144" spans="1:40" x14ac:dyDescent="0.25">
      <c r="A144" s="20">
        <v>142</v>
      </c>
      <c r="B144" s="20" t="s">
        <v>209</v>
      </c>
      <c r="C144" s="20" t="s">
        <v>61</v>
      </c>
      <c r="D144">
        <v>1</v>
      </c>
      <c r="E144" s="20" t="str">
        <f t="shared" si="2"/>
        <v>HAYE</v>
      </c>
      <c r="F144" s="20">
        <v>-9.25</v>
      </c>
      <c r="G144" s="20">
        <v>107.41</v>
      </c>
      <c r="H144" s="20">
        <v>12</v>
      </c>
      <c r="I144" s="20">
        <v>7.7</v>
      </c>
      <c r="J144" s="20">
        <v>290</v>
      </c>
      <c r="K144" s="20">
        <v>10</v>
      </c>
      <c r="L144" s="20">
        <v>94.459767295914503</v>
      </c>
      <c r="M144" s="20">
        <v>1.49</v>
      </c>
      <c r="N144" s="20">
        <v>17</v>
      </c>
      <c r="O144" s="20">
        <v>12</v>
      </c>
      <c r="P144" s="20">
        <v>20</v>
      </c>
      <c r="Q144" s="20">
        <v>11</v>
      </c>
      <c r="R144" s="25">
        <v>340</v>
      </c>
      <c r="S144" s="25">
        <v>132</v>
      </c>
      <c r="T144" s="25">
        <v>46.064803921568597</v>
      </c>
      <c r="U144" s="25">
        <v>260</v>
      </c>
      <c r="V144" s="25">
        <v>110</v>
      </c>
      <c r="W144" s="25">
        <v>72.286307692307702</v>
      </c>
      <c r="X144" s="25">
        <v>75.733502066760494</v>
      </c>
      <c r="Y144" s="20" t="s">
        <v>102</v>
      </c>
      <c r="Z144" s="25">
        <v>5280</v>
      </c>
      <c r="AA144" s="25">
        <v>1320</v>
      </c>
      <c r="AB144" s="25">
        <v>6600</v>
      </c>
      <c r="AC144" s="25">
        <v>174.305048693375</v>
      </c>
      <c r="AD144" s="25">
        <v>11.4127122105133</v>
      </c>
      <c r="AE144" s="25">
        <v>29.2617497767991</v>
      </c>
      <c r="AF144" s="25">
        <v>102.08492321499</v>
      </c>
      <c r="AG144" s="25">
        <v>46.166811279679301</v>
      </c>
      <c r="AH144" s="25">
        <v>56.753263082662002</v>
      </c>
      <c r="AI144" s="25">
        <v>27.147641143479198</v>
      </c>
      <c r="AJ144" s="25">
        <v>37.517814039585197</v>
      </c>
      <c r="AK144" s="25">
        <v>20.247192296107801</v>
      </c>
      <c r="AL144" s="20">
        <v>53.622404190785801</v>
      </c>
      <c r="AM144" s="20">
        <v>70.168102949559696</v>
      </c>
      <c r="AN144" s="20" t="s">
        <v>58</v>
      </c>
    </row>
    <row r="145" spans="1:40" x14ac:dyDescent="0.25">
      <c r="A145" s="20">
        <v>143</v>
      </c>
      <c r="B145" s="20" t="s">
        <v>210</v>
      </c>
      <c r="C145" s="20" t="s">
        <v>61</v>
      </c>
      <c r="D145">
        <v>1</v>
      </c>
      <c r="E145" s="20" t="str">
        <f t="shared" si="2"/>
        <v>YAGI</v>
      </c>
      <c r="F145" s="20">
        <v>-9.31</v>
      </c>
      <c r="G145" s="20">
        <v>107.28400000000001</v>
      </c>
      <c r="H145" s="20">
        <v>15</v>
      </c>
      <c r="I145" s="20">
        <v>7.82</v>
      </c>
      <c r="J145" s="20">
        <v>290</v>
      </c>
      <c r="K145" s="20">
        <v>10</v>
      </c>
      <c r="L145" s="20">
        <v>108.48851634552101</v>
      </c>
      <c r="M145" s="20">
        <v>1.1100000000000001</v>
      </c>
      <c r="N145" s="20">
        <v>25</v>
      </c>
      <c r="O145" s="20">
        <v>14</v>
      </c>
      <c r="P145" s="20">
        <v>10</v>
      </c>
      <c r="Q145" s="20">
        <v>10</v>
      </c>
      <c r="R145">
        <v>250</v>
      </c>
      <c r="S145">
        <v>140</v>
      </c>
      <c r="T145">
        <v>65.770571428571401</v>
      </c>
      <c r="U145">
        <v>220</v>
      </c>
      <c r="V145">
        <v>140</v>
      </c>
      <c r="W145">
        <v>74.7392857142857</v>
      </c>
      <c r="X145">
        <v>34.557895027388703</v>
      </c>
      <c r="Y145" s="20" t="s">
        <v>76</v>
      </c>
      <c r="Z145">
        <v>16100</v>
      </c>
      <c r="AA145">
        <v>900</v>
      </c>
      <c r="AB145">
        <v>17000</v>
      </c>
      <c r="AC145">
        <v>131.24404748406701</v>
      </c>
      <c r="AD145">
        <v>11.180339887498899</v>
      </c>
      <c r="AE145">
        <v>5</v>
      </c>
      <c r="AF145">
        <v>249.999997051766</v>
      </c>
      <c r="AG145">
        <v>134.089954196821</v>
      </c>
      <c r="AH145">
        <v>49.451378974481898</v>
      </c>
      <c r="AI145">
        <v>32.075258630116302</v>
      </c>
      <c r="AJ145">
        <v>24.066145181616701</v>
      </c>
      <c r="AK145">
        <v>22.356518156764398</v>
      </c>
      <c r="AL145" s="20">
        <v>4.9827432976223101</v>
      </c>
      <c r="AM145" s="20">
        <v>74.278909378773207</v>
      </c>
      <c r="AN145" s="20" t="s">
        <v>58</v>
      </c>
    </row>
    <row r="146" spans="1:40" x14ac:dyDescent="0.25">
      <c r="A146" s="20">
        <v>144</v>
      </c>
      <c r="B146" s="20" t="s">
        <v>211</v>
      </c>
      <c r="C146" s="20" t="s">
        <v>61</v>
      </c>
      <c r="D146">
        <v>1</v>
      </c>
      <c r="E146" s="20" t="str">
        <f t="shared" si="2"/>
        <v>HAYE</v>
      </c>
      <c r="F146" s="20">
        <v>46.51</v>
      </c>
      <c r="G146" s="20">
        <v>153.38999999999999</v>
      </c>
      <c r="H146" s="20">
        <v>15.25</v>
      </c>
      <c r="I146" s="20">
        <v>8.2899999999999991</v>
      </c>
      <c r="J146" s="20">
        <v>220</v>
      </c>
      <c r="K146" s="20">
        <v>16</v>
      </c>
      <c r="L146" s="20">
        <v>94.6217131661205</v>
      </c>
      <c r="M146" s="20">
        <v>0.39</v>
      </c>
      <c r="N146" s="20">
        <v>18</v>
      </c>
      <c r="O146" s="20">
        <v>15</v>
      </c>
      <c r="P146" s="20">
        <v>20</v>
      </c>
      <c r="Q146" s="20">
        <v>9.8000000000000007</v>
      </c>
      <c r="R146" s="25">
        <v>360</v>
      </c>
      <c r="S146" s="25">
        <v>147</v>
      </c>
      <c r="T146" s="25">
        <v>176.32748148148099</v>
      </c>
      <c r="U146" s="25">
        <v>300</v>
      </c>
      <c r="V146" s="25">
        <v>107.8</v>
      </c>
      <c r="W146" s="25">
        <v>288.53587878787903</v>
      </c>
      <c r="X146" s="25">
        <v>259.25551762919099</v>
      </c>
      <c r="Y146" s="20" t="s">
        <v>102</v>
      </c>
      <c r="Z146" s="25">
        <v>6664</v>
      </c>
      <c r="AA146" s="25">
        <v>3920</v>
      </c>
      <c r="AB146" s="25">
        <v>10584</v>
      </c>
      <c r="AC146" s="25">
        <v>130.82847549367801</v>
      </c>
      <c r="AD146" s="25">
        <v>11.1359777298628</v>
      </c>
      <c r="AE146" s="25">
        <v>17.778920102188401</v>
      </c>
      <c r="AF146" s="25">
        <v>162.505432201232</v>
      </c>
      <c r="AG146" s="25">
        <v>99.128311027398397</v>
      </c>
      <c r="AH146" s="25">
        <v>59.206969504103199</v>
      </c>
      <c r="AI146" s="25">
        <v>33.137199074278499</v>
      </c>
      <c r="AJ146" s="25">
        <v>40.831568199472201</v>
      </c>
      <c r="AK146" s="25">
        <v>21.064047237152799</v>
      </c>
      <c r="AL146" s="20">
        <v>80.098737946174893</v>
      </c>
      <c r="AM146" s="20">
        <v>78.880305539088795</v>
      </c>
      <c r="AN146" s="20" t="s">
        <v>58</v>
      </c>
    </row>
    <row r="147" spans="1:40" x14ac:dyDescent="0.25">
      <c r="A147" s="20">
        <v>145</v>
      </c>
      <c r="B147" s="20" t="s">
        <v>212</v>
      </c>
      <c r="C147" s="20" t="s">
        <v>61</v>
      </c>
      <c r="D147">
        <v>1</v>
      </c>
      <c r="E147" s="20" t="str">
        <f t="shared" si="2"/>
        <v>JIxx</v>
      </c>
      <c r="F147" s="20">
        <v>46.621600000000001</v>
      </c>
      <c r="G147" s="20">
        <v>153.27229</v>
      </c>
      <c r="H147" s="20">
        <v>25.857600000000001</v>
      </c>
      <c r="I147" s="20">
        <v>8.3000000000000007</v>
      </c>
      <c r="J147" s="20">
        <v>220.23000000000101</v>
      </c>
      <c r="K147" s="20">
        <v>14.89</v>
      </c>
      <c r="L147" s="20">
        <v>91.150883218662798</v>
      </c>
      <c r="M147" s="20">
        <v>4.9792742200298203</v>
      </c>
      <c r="N147" s="20">
        <v>20</v>
      </c>
      <c r="O147" s="20">
        <v>11</v>
      </c>
      <c r="P147" s="20">
        <v>20</v>
      </c>
      <c r="Q147" s="20">
        <v>12.5</v>
      </c>
      <c r="R147">
        <v>400</v>
      </c>
      <c r="S147">
        <v>137.5</v>
      </c>
      <c r="T147">
        <v>169.081612181818</v>
      </c>
      <c r="U147">
        <v>280</v>
      </c>
      <c r="V147">
        <v>125</v>
      </c>
      <c r="W147">
        <v>265.69967628571402</v>
      </c>
      <c r="X147">
        <v>226.58671983076701</v>
      </c>
      <c r="Y147" s="20" t="s">
        <v>64</v>
      </c>
      <c r="Z147">
        <v>8500</v>
      </c>
      <c r="AA147">
        <v>3000</v>
      </c>
      <c r="AB147">
        <v>11500</v>
      </c>
      <c r="AC147">
        <v>130.15015366875301</v>
      </c>
      <c r="AD147">
        <v>21.25</v>
      </c>
      <c r="AE147">
        <v>43.319308627908597</v>
      </c>
      <c r="AF147">
        <v>227.01930686279499</v>
      </c>
      <c r="AG147">
        <v>78.5521126714861</v>
      </c>
      <c r="AH147">
        <v>59.246208871629896</v>
      </c>
      <c r="AI147">
        <v>28.420847752757901</v>
      </c>
      <c r="AJ147">
        <v>42.948726525276903</v>
      </c>
      <c r="AK147">
        <v>25.479494631552399</v>
      </c>
      <c r="AL147" s="20">
        <v>87.749739295908995</v>
      </c>
      <c r="AM147" s="20">
        <v>70.4687154332332</v>
      </c>
      <c r="AN147" s="20" t="s">
        <v>58</v>
      </c>
    </row>
    <row r="148" spans="1:40" x14ac:dyDescent="0.25">
      <c r="A148" s="20">
        <v>146</v>
      </c>
      <c r="B148" s="20" t="s">
        <v>213</v>
      </c>
      <c r="C148" s="20" t="s">
        <v>61</v>
      </c>
      <c r="D148">
        <v>1</v>
      </c>
      <c r="E148" s="20" t="str">
        <f t="shared" si="2"/>
        <v>LAYx</v>
      </c>
      <c r="F148" s="20">
        <v>46.591999999999999</v>
      </c>
      <c r="G148" s="20">
        <v>153.26599999999999</v>
      </c>
      <c r="H148" s="20">
        <v>12</v>
      </c>
      <c r="I148" s="20">
        <v>8.4</v>
      </c>
      <c r="J148" s="20">
        <v>220</v>
      </c>
      <c r="K148" s="20">
        <v>15</v>
      </c>
      <c r="L148" s="20">
        <v>96.750644569970106</v>
      </c>
      <c r="M148" s="20">
        <v>0.35299999999999998</v>
      </c>
      <c r="N148" s="20">
        <v>12</v>
      </c>
      <c r="O148" s="20">
        <v>10</v>
      </c>
      <c r="P148" s="20">
        <v>20</v>
      </c>
      <c r="Q148" s="20">
        <v>10</v>
      </c>
      <c r="R148">
        <v>240</v>
      </c>
      <c r="S148">
        <v>100</v>
      </c>
      <c r="T148">
        <v>458.36083333333301</v>
      </c>
      <c r="U148">
        <v>240</v>
      </c>
      <c r="V148">
        <v>100</v>
      </c>
      <c r="W148">
        <v>458.36083333333301</v>
      </c>
      <c r="X148">
        <v>277.94980119167701</v>
      </c>
      <c r="Y148" s="20" t="s">
        <v>76</v>
      </c>
      <c r="Z148">
        <v>9000</v>
      </c>
      <c r="AA148">
        <v>1600</v>
      </c>
      <c r="AB148">
        <v>10600</v>
      </c>
      <c r="AC148">
        <v>129.331523859199</v>
      </c>
      <c r="AD148">
        <v>11.602399043459799</v>
      </c>
      <c r="AE148">
        <v>51.830123524601603</v>
      </c>
      <c r="AF148">
        <v>138.58871563801901</v>
      </c>
      <c r="AG148">
        <v>99.999990774651195</v>
      </c>
      <c r="AH148">
        <v>45.9579583008694</v>
      </c>
      <c r="AI148">
        <v>28.165945720621998</v>
      </c>
      <c r="AJ148">
        <v>40.587060965496804</v>
      </c>
      <c r="AK148">
        <v>21.511002625001201</v>
      </c>
      <c r="AL148" s="20">
        <v>83.888946231621702</v>
      </c>
      <c r="AM148" s="20">
        <v>90.990205930218394</v>
      </c>
      <c r="AN148" s="20" t="s">
        <v>58</v>
      </c>
    </row>
    <row r="149" spans="1:40" x14ac:dyDescent="0.25">
      <c r="A149" s="20">
        <v>147</v>
      </c>
      <c r="B149" s="20" t="s">
        <v>214</v>
      </c>
      <c r="C149" s="20" t="s">
        <v>61</v>
      </c>
      <c r="D149">
        <v>1</v>
      </c>
      <c r="E149" s="20" t="str">
        <f t="shared" si="2"/>
        <v>SLAD</v>
      </c>
      <c r="F149" s="20">
        <v>46.606999999999999</v>
      </c>
      <c r="G149" s="20">
        <v>153.22999999999999</v>
      </c>
      <c r="H149" s="20">
        <v>20</v>
      </c>
      <c r="I149" s="20">
        <v>8.3000000000000007</v>
      </c>
      <c r="J149" s="20">
        <v>220</v>
      </c>
      <c r="K149" s="20">
        <v>15</v>
      </c>
      <c r="L149" s="20">
        <v>99.429214135517597</v>
      </c>
      <c r="M149" s="20">
        <v>2.2970000000000002</v>
      </c>
      <c r="N149" s="20">
        <v>21</v>
      </c>
      <c r="O149" s="20">
        <v>11</v>
      </c>
      <c r="P149" s="20">
        <v>15</v>
      </c>
      <c r="Q149" s="20">
        <v>12</v>
      </c>
      <c r="R149">
        <v>315</v>
      </c>
      <c r="S149">
        <v>132</v>
      </c>
      <c r="T149">
        <v>173.59307718614701</v>
      </c>
      <c r="U149">
        <v>315</v>
      </c>
      <c r="V149">
        <v>132</v>
      </c>
      <c r="W149">
        <v>173.59307718614701</v>
      </c>
      <c r="X149">
        <v>103.612434401469</v>
      </c>
      <c r="Y149" s="20" t="s">
        <v>64</v>
      </c>
      <c r="Z149" s="28">
        <v>13860</v>
      </c>
      <c r="AA149">
        <v>5220</v>
      </c>
      <c r="AB149">
        <v>19080</v>
      </c>
      <c r="AC149">
        <v>233.02217671389201</v>
      </c>
      <c r="AD149">
        <v>2.8283296175167498</v>
      </c>
      <c r="AE149">
        <v>14.5901850879004</v>
      </c>
      <c r="AF149">
        <v>193.90724808110599</v>
      </c>
      <c r="AG149">
        <v>94.911582262448704</v>
      </c>
      <c r="AH149">
        <v>69.524016930208404</v>
      </c>
      <c r="AI149">
        <v>41.8665724375699</v>
      </c>
      <c r="AJ149">
        <v>32.485825493493699</v>
      </c>
      <c r="AK149">
        <v>24.728282657464</v>
      </c>
      <c r="AL149" s="20">
        <v>50.782355319946397</v>
      </c>
      <c r="AM149" s="20">
        <v>82.784709057829303</v>
      </c>
      <c r="AN149" s="20" t="s">
        <v>58</v>
      </c>
    </row>
    <row r="150" spans="1:40" x14ac:dyDescent="0.25">
      <c r="A150" s="20">
        <v>148</v>
      </c>
      <c r="B150" s="20" t="s">
        <v>215</v>
      </c>
      <c r="C150" s="20" t="s">
        <v>61</v>
      </c>
      <c r="D150">
        <v>1</v>
      </c>
      <c r="E150" s="20" t="str">
        <f t="shared" si="2"/>
        <v>JIxx</v>
      </c>
      <c r="F150" s="20">
        <v>-9.3080099999999995</v>
      </c>
      <c r="G150" s="20">
        <v>107.35979</v>
      </c>
      <c r="H150" s="20">
        <v>14.71768</v>
      </c>
      <c r="I150" s="20">
        <v>7.7</v>
      </c>
      <c r="J150" s="20">
        <v>288.94</v>
      </c>
      <c r="K150" s="20">
        <v>10.35</v>
      </c>
      <c r="L150" s="20">
        <v>94.419757514358196</v>
      </c>
      <c r="M150" s="20">
        <v>5.8244658827374396</v>
      </c>
      <c r="N150" s="20">
        <v>21</v>
      </c>
      <c r="O150" s="20">
        <v>7</v>
      </c>
      <c r="P150" s="20">
        <v>15</v>
      </c>
      <c r="Q150" s="20">
        <v>11</v>
      </c>
      <c r="R150">
        <v>315</v>
      </c>
      <c r="S150">
        <v>77</v>
      </c>
      <c r="T150">
        <v>46.139987619047602</v>
      </c>
      <c r="U150">
        <v>315</v>
      </c>
      <c r="V150">
        <v>77</v>
      </c>
      <c r="W150">
        <v>46.139987619047602</v>
      </c>
      <c r="X150">
        <v>44.534574551164198</v>
      </c>
      <c r="Y150" s="20" t="s">
        <v>64</v>
      </c>
      <c r="Z150">
        <v>5280</v>
      </c>
      <c r="AA150">
        <v>495</v>
      </c>
      <c r="AB150">
        <v>5775</v>
      </c>
      <c r="AC150">
        <v>202.01113830677801</v>
      </c>
      <c r="AD150">
        <v>9.3005376188691393</v>
      </c>
      <c r="AE150">
        <v>9.3005376188691393</v>
      </c>
      <c r="AF150">
        <v>58.974903145513899</v>
      </c>
      <c r="AG150">
        <v>40.455424885122802</v>
      </c>
      <c r="AH150">
        <v>52.623242586130701</v>
      </c>
      <c r="AI150">
        <v>36.379531145684702</v>
      </c>
      <c r="AJ150">
        <v>26.609373992487601</v>
      </c>
      <c r="AK150">
        <v>19.665017771294</v>
      </c>
      <c r="AL150" s="20">
        <v>0.69380686793949198</v>
      </c>
      <c r="AM150" s="20">
        <v>25.327762079781099</v>
      </c>
      <c r="AN150" s="20" t="s">
        <v>58</v>
      </c>
    </row>
    <row r="151" spans="1:40" x14ac:dyDescent="0.25">
      <c r="A151" s="20">
        <v>149</v>
      </c>
      <c r="B151" s="20" t="s">
        <v>216</v>
      </c>
      <c r="C151" s="20" t="s">
        <v>61</v>
      </c>
      <c r="D151">
        <v>1</v>
      </c>
      <c r="E151" s="20" t="str">
        <f t="shared" si="2"/>
        <v>KONC</v>
      </c>
      <c r="F151" s="20">
        <v>-9.2949999999999999</v>
      </c>
      <c r="G151" s="20">
        <v>107.345</v>
      </c>
      <c r="H151" s="20">
        <v>9.8025248895465502</v>
      </c>
      <c r="I151" s="20">
        <v>7.9</v>
      </c>
      <c r="J151" s="20">
        <v>289</v>
      </c>
      <c r="K151" s="20">
        <v>10</v>
      </c>
      <c r="L151" s="20">
        <v>83.496281997248204</v>
      </c>
      <c r="M151" s="20">
        <v>0.23300000000000001</v>
      </c>
      <c r="N151" s="20">
        <v>20</v>
      </c>
      <c r="O151" s="20">
        <v>13</v>
      </c>
      <c r="P151" s="20">
        <v>12</v>
      </c>
      <c r="Q151" s="20">
        <v>12.5</v>
      </c>
      <c r="R151">
        <v>240</v>
      </c>
      <c r="S151">
        <v>162.5</v>
      </c>
      <c r="T151">
        <v>152.815384615385</v>
      </c>
      <c r="U151">
        <v>240</v>
      </c>
      <c r="V151">
        <v>162.5</v>
      </c>
      <c r="W151">
        <v>152.815384615385</v>
      </c>
      <c r="X151">
        <v>78.771335614697506</v>
      </c>
      <c r="Y151" s="20" t="s">
        <v>64</v>
      </c>
      <c r="Z151">
        <v>18150</v>
      </c>
      <c r="AA151">
        <v>3450</v>
      </c>
      <c r="AB151">
        <v>21600</v>
      </c>
      <c r="AC151">
        <v>79.968840677131695</v>
      </c>
      <c r="AD151">
        <v>7.8790070723805901</v>
      </c>
      <c r="AE151">
        <v>9.5201251136808391</v>
      </c>
      <c r="AF151">
        <v>147.056946745999</v>
      </c>
      <c r="AG151">
        <v>145.78855107706099</v>
      </c>
      <c r="AH151">
        <v>47.572600200388102</v>
      </c>
      <c r="AI151">
        <v>48.282819592120802</v>
      </c>
      <c r="AJ151">
        <v>26.1336311455999</v>
      </c>
      <c r="AK151">
        <v>26.9698137361192</v>
      </c>
      <c r="AL151" s="20">
        <v>183.075755384708</v>
      </c>
      <c r="AM151" s="20">
        <v>149.27017423396401</v>
      </c>
      <c r="AN151" s="20" t="s">
        <v>58</v>
      </c>
    </row>
    <row r="152" spans="1:40" x14ac:dyDescent="0.25">
      <c r="A152" s="20">
        <v>150</v>
      </c>
      <c r="B152" s="20" t="s">
        <v>217</v>
      </c>
      <c r="C152" s="20" t="s">
        <v>61</v>
      </c>
      <c r="D152">
        <v>1</v>
      </c>
      <c r="E152" s="20" t="str">
        <f t="shared" si="2"/>
        <v>GUSM</v>
      </c>
      <c r="F152" s="20">
        <v>-4.5199999999999996</v>
      </c>
      <c r="G152" s="20">
        <v>101.374</v>
      </c>
      <c r="H152" s="20">
        <v>21.23</v>
      </c>
      <c r="I152" s="20">
        <v>8.5</v>
      </c>
      <c r="J152" s="20">
        <v>328</v>
      </c>
      <c r="K152" s="20">
        <v>9</v>
      </c>
      <c r="L152" s="20">
        <v>79.134205556038097</v>
      </c>
      <c r="M152" s="20">
        <v>10.045</v>
      </c>
      <c r="N152" s="20">
        <v>16</v>
      </c>
      <c r="O152" s="20">
        <v>10</v>
      </c>
      <c r="P152" s="20">
        <v>25</v>
      </c>
      <c r="Q152" s="20">
        <v>25</v>
      </c>
      <c r="R152">
        <v>400</v>
      </c>
      <c r="S152">
        <v>250</v>
      </c>
      <c r="T152">
        <v>116.39375</v>
      </c>
      <c r="U152">
        <v>300</v>
      </c>
      <c r="V152">
        <v>225</v>
      </c>
      <c r="W152">
        <v>172.43518518518499</v>
      </c>
      <c r="X152">
        <v>161.50984092161301</v>
      </c>
      <c r="Y152" s="20" t="s">
        <v>110</v>
      </c>
      <c r="Z152">
        <v>13750</v>
      </c>
      <c r="AA152">
        <v>8125</v>
      </c>
      <c r="AB152">
        <v>21875</v>
      </c>
      <c r="AC152">
        <v>141.650882454011</v>
      </c>
      <c r="AD152">
        <v>10.172143333634301</v>
      </c>
      <c r="AE152">
        <v>34.719915034458303</v>
      </c>
      <c r="AF152">
        <v>189.63384481296899</v>
      </c>
      <c r="AG152">
        <v>143.64467868345599</v>
      </c>
      <c r="AH152">
        <v>63.733307400119699</v>
      </c>
      <c r="AI152">
        <v>54.470155704908301</v>
      </c>
      <c r="AJ152">
        <v>49.083902121796299</v>
      </c>
      <c r="AK152">
        <v>49.134065300018896</v>
      </c>
      <c r="AL152" s="20">
        <v>110.79002023621101</v>
      </c>
      <c r="AM152" s="20">
        <v>107.559791884142</v>
      </c>
      <c r="AN152" s="20" t="s">
        <v>58</v>
      </c>
    </row>
    <row r="153" spans="1:40" x14ac:dyDescent="0.25">
      <c r="A153" s="20">
        <v>151</v>
      </c>
      <c r="B153" s="20" t="s">
        <v>218</v>
      </c>
      <c r="C153" s="20" t="s">
        <v>61</v>
      </c>
      <c r="D153">
        <v>1</v>
      </c>
      <c r="E153" s="20" t="str">
        <f t="shared" si="2"/>
        <v>HAYE</v>
      </c>
      <c r="F153" s="20">
        <v>-4.5170000000000003</v>
      </c>
      <c r="G153" s="20">
        <v>101.38200000000001</v>
      </c>
      <c r="H153" s="20">
        <v>30</v>
      </c>
      <c r="I153" s="20">
        <v>8.44</v>
      </c>
      <c r="J153" s="20">
        <v>320</v>
      </c>
      <c r="K153" s="20">
        <v>15</v>
      </c>
      <c r="L153" s="20">
        <v>103.507544013893</v>
      </c>
      <c r="M153" s="20">
        <v>3.08</v>
      </c>
      <c r="N153" s="20">
        <v>22</v>
      </c>
      <c r="O153" s="20">
        <v>20</v>
      </c>
      <c r="P153" s="20">
        <v>16</v>
      </c>
      <c r="Q153" s="20">
        <v>16</v>
      </c>
      <c r="R153" s="25">
        <v>352</v>
      </c>
      <c r="S153" s="25">
        <v>320</v>
      </c>
      <c r="T153" s="25">
        <v>79.632545454545493</v>
      </c>
      <c r="U153" s="25">
        <v>272</v>
      </c>
      <c r="V153" s="25">
        <v>240</v>
      </c>
      <c r="W153" s="25">
        <v>137.405176470588</v>
      </c>
      <c r="X153" s="25">
        <v>151.887306611545</v>
      </c>
      <c r="Y153" s="20" t="s">
        <v>102</v>
      </c>
      <c r="Z153" s="25">
        <v>9984</v>
      </c>
      <c r="AA153" s="25">
        <v>2816</v>
      </c>
      <c r="AB153" s="25">
        <v>12800</v>
      </c>
      <c r="AC153" s="25">
        <v>111.427106217473</v>
      </c>
      <c r="AD153" s="25">
        <v>11.3137084989848</v>
      </c>
      <c r="AE153" s="25">
        <v>11.3137084989848</v>
      </c>
      <c r="AF153" s="25">
        <v>84.903755526482399</v>
      </c>
      <c r="AG153" s="25">
        <v>86.443740149264102</v>
      </c>
      <c r="AH153" s="25">
        <v>60.271916149071203</v>
      </c>
      <c r="AI153" s="25">
        <v>61.270478200130299</v>
      </c>
      <c r="AJ153" s="25">
        <v>30.172482777408501</v>
      </c>
      <c r="AK153" s="25">
        <v>30.671813890016999</v>
      </c>
      <c r="AL153" s="20">
        <v>90.500912395235005</v>
      </c>
      <c r="AM153" s="20">
        <v>83.928196588869895</v>
      </c>
      <c r="AN153" s="20" t="s">
        <v>58</v>
      </c>
    </row>
    <row r="154" spans="1:40" x14ac:dyDescent="0.25">
      <c r="A154" s="20">
        <v>152</v>
      </c>
      <c r="B154" s="20" t="s">
        <v>219</v>
      </c>
      <c r="C154" s="20" t="s">
        <v>61</v>
      </c>
      <c r="D154">
        <v>1</v>
      </c>
      <c r="E154" s="20" t="str">
        <f t="shared" si="2"/>
        <v>JIxx</v>
      </c>
      <c r="F154" s="20">
        <v>-4.5468999999999999</v>
      </c>
      <c r="G154" s="20">
        <v>101.37949999999999</v>
      </c>
      <c r="H154" s="20">
        <v>29.569299999999998</v>
      </c>
      <c r="I154" s="20">
        <v>8.4</v>
      </c>
      <c r="J154" s="20">
        <v>323</v>
      </c>
      <c r="K154" s="20">
        <v>12</v>
      </c>
      <c r="L154" s="20">
        <v>110.02614462615099</v>
      </c>
      <c r="M154" s="20">
        <v>9.9736402415712408</v>
      </c>
      <c r="N154" s="20">
        <v>28</v>
      </c>
      <c r="O154" s="20">
        <v>11</v>
      </c>
      <c r="P154" s="20">
        <v>20</v>
      </c>
      <c r="Q154" s="20">
        <v>14.5</v>
      </c>
      <c r="R154">
        <v>560</v>
      </c>
      <c r="S154">
        <v>159.5</v>
      </c>
      <c r="T154">
        <v>90.2273367857143</v>
      </c>
      <c r="U154">
        <v>460</v>
      </c>
      <c r="V154">
        <v>159.5</v>
      </c>
      <c r="W154">
        <v>109.841975217391</v>
      </c>
      <c r="X154">
        <v>94.799423660321594</v>
      </c>
      <c r="Y154" s="20" t="s">
        <v>57</v>
      </c>
      <c r="Z154">
        <v>25230</v>
      </c>
      <c r="AA154">
        <v>7540</v>
      </c>
      <c r="AB154">
        <v>32770</v>
      </c>
      <c r="AC154">
        <v>110.238661548479</v>
      </c>
      <c r="AD154">
        <v>12.3516193270356</v>
      </c>
      <c r="AE154">
        <v>23.938723859053098</v>
      </c>
      <c r="AF154">
        <v>279.208731363315</v>
      </c>
      <c r="AG154">
        <v>100.811003150929</v>
      </c>
      <c r="AH154">
        <v>67.905840166443099</v>
      </c>
      <c r="AI154">
        <v>35.668932551064998</v>
      </c>
      <c r="AJ154">
        <v>44.5305834435554</v>
      </c>
      <c r="AK154">
        <v>30.339444916583201</v>
      </c>
      <c r="AL154" s="20">
        <v>85.239614598964494</v>
      </c>
      <c r="AM154" s="20">
        <v>62.360994091900103</v>
      </c>
      <c r="AN154" s="20" t="s">
        <v>58</v>
      </c>
    </row>
    <row r="155" spans="1:40" x14ac:dyDescent="0.25">
      <c r="A155" s="20">
        <v>153</v>
      </c>
      <c r="B155" s="20" t="s">
        <v>220</v>
      </c>
      <c r="C155" s="20" t="s">
        <v>61</v>
      </c>
      <c r="D155">
        <v>1</v>
      </c>
      <c r="E155" s="20" t="str">
        <f t="shared" si="2"/>
        <v>KONC</v>
      </c>
      <c r="F155" s="20">
        <v>-4.5453200000000002</v>
      </c>
      <c r="G155" s="20">
        <v>101.37801</v>
      </c>
      <c r="H155" s="20">
        <v>29.40841</v>
      </c>
      <c r="I155" s="20">
        <v>8.4</v>
      </c>
      <c r="J155" s="20">
        <v>324</v>
      </c>
      <c r="K155" s="20">
        <v>15</v>
      </c>
      <c r="L155" s="20">
        <v>94.293150900416705</v>
      </c>
      <c r="M155" s="20">
        <v>2.4912276391798298</v>
      </c>
      <c r="N155" s="20">
        <v>25</v>
      </c>
      <c r="O155" s="20">
        <v>23</v>
      </c>
      <c r="P155" s="20">
        <v>16</v>
      </c>
      <c r="Q155" s="20">
        <v>16</v>
      </c>
      <c r="R155">
        <v>400</v>
      </c>
      <c r="S155">
        <v>368</v>
      </c>
      <c r="T155">
        <v>55.993043478260901</v>
      </c>
      <c r="U155">
        <v>256</v>
      </c>
      <c r="V155">
        <v>192</v>
      </c>
      <c r="W155">
        <v>167.6875</v>
      </c>
      <c r="X155">
        <v>264.84705389139702</v>
      </c>
      <c r="Y155" s="20" t="s">
        <v>64</v>
      </c>
      <c r="Z155">
        <v>4864</v>
      </c>
      <c r="AA155">
        <v>2560</v>
      </c>
      <c r="AB155">
        <v>7424</v>
      </c>
      <c r="AC155">
        <v>169.70562748477099</v>
      </c>
      <c r="AD155">
        <v>40.792156108742297</v>
      </c>
      <c r="AE155">
        <v>60.926184846911298</v>
      </c>
      <c r="AF155">
        <v>88.427096734223198</v>
      </c>
      <c r="AG155">
        <v>65.548367692264705</v>
      </c>
      <c r="AH155">
        <v>30.844730533264499</v>
      </c>
      <c r="AI155">
        <v>26.120008687997</v>
      </c>
      <c r="AJ155">
        <v>31.280494878477</v>
      </c>
      <c r="AK155">
        <v>29.599767924452902</v>
      </c>
      <c r="AL155" s="20">
        <v>84.241694840797194</v>
      </c>
      <c r="AM155" s="20">
        <v>177.62451810572199</v>
      </c>
      <c r="AN155" s="20" t="s">
        <v>58</v>
      </c>
    </row>
    <row r="156" spans="1:40" x14ac:dyDescent="0.25">
      <c r="A156" s="20">
        <v>154</v>
      </c>
      <c r="B156" s="20" t="s">
        <v>221</v>
      </c>
      <c r="C156" s="20" t="s">
        <v>80</v>
      </c>
      <c r="D156">
        <v>1</v>
      </c>
      <c r="E156" s="20" t="str">
        <f t="shared" si="2"/>
        <v>HAYE</v>
      </c>
      <c r="F156" s="20">
        <v>46.24</v>
      </c>
      <c r="G156" s="20">
        <v>154.52000000000001</v>
      </c>
      <c r="H156" s="20">
        <v>7.5</v>
      </c>
      <c r="I156" s="20">
        <v>8.18</v>
      </c>
      <c r="J156" s="20">
        <v>220</v>
      </c>
      <c r="K156" s="20">
        <v>39</v>
      </c>
      <c r="L156" s="20">
        <v>-106.197731722871</v>
      </c>
      <c r="M156" s="20">
        <v>3.84</v>
      </c>
      <c r="N156" s="20">
        <v>16</v>
      </c>
      <c r="O156" s="20">
        <v>8</v>
      </c>
      <c r="P156" s="20">
        <v>20</v>
      </c>
      <c r="Q156" s="20">
        <v>11.62</v>
      </c>
      <c r="R156" s="25">
        <v>320</v>
      </c>
      <c r="S156" s="25">
        <v>92.96</v>
      </c>
      <c r="T156" s="25">
        <v>151.79039062499999</v>
      </c>
      <c r="U156" s="25">
        <v>200</v>
      </c>
      <c r="V156" s="25">
        <v>69.72</v>
      </c>
      <c r="W156" s="25">
        <v>323.81950000000001</v>
      </c>
      <c r="X156" s="25">
        <v>376.797691379887</v>
      </c>
      <c r="Y156" s="20" t="s">
        <v>102</v>
      </c>
      <c r="Z156" s="25">
        <v>2091.6</v>
      </c>
      <c r="AA156" s="25">
        <v>929.6</v>
      </c>
      <c r="AB156" s="25">
        <v>3021.2</v>
      </c>
      <c r="AC156" s="25">
        <v>117.493748344327</v>
      </c>
      <c r="AD156" s="25">
        <v>11.5652972292112</v>
      </c>
      <c r="AE156" s="25">
        <v>11.5652972292112</v>
      </c>
      <c r="AF156" s="25">
        <v>109.519902185825</v>
      </c>
      <c r="AG156" s="25">
        <v>25.9020425363802</v>
      </c>
      <c r="AH156" s="25">
        <v>38.624409901078998</v>
      </c>
      <c r="AI156" s="25">
        <v>13.6411668194305</v>
      </c>
      <c r="AJ156" s="25">
        <v>39.529403949935698</v>
      </c>
      <c r="AK156" s="25">
        <v>19.6608806962359</v>
      </c>
      <c r="AL156" s="20">
        <v>11.785947628001701</v>
      </c>
      <c r="AM156" s="20">
        <v>13.4259981844927</v>
      </c>
      <c r="AN156" s="20" t="s">
        <v>58</v>
      </c>
    </row>
    <row r="157" spans="1:40" x14ac:dyDescent="0.25">
      <c r="A157" s="20">
        <v>155</v>
      </c>
      <c r="B157" s="20" t="s">
        <v>222</v>
      </c>
      <c r="C157" s="20" t="s">
        <v>80</v>
      </c>
      <c r="D157">
        <v>1</v>
      </c>
      <c r="E157" s="20" t="str">
        <f t="shared" si="2"/>
        <v>JIxx</v>
      </c>
      <c r="F157" s="20">
        <v>46.285600000000002</v>
      </c>
      <c r="G157" s="20">
        <v>154.4348</v>
      </c>
      <c r="H157" s="20">
        <v>18.153099999999998</v>
      </c>
      <c r="I157" s="20">
        <v>8.1</v>
      </c>
      <c r="J157" s="20">
        <v>42.3599999999999</v>
      </c>
      <c r="K157" s="20">
        <v>57.879999999999903</v>
      </c>
      <c r="L157" s="20">
        <v>-114.136666316546</v>
      </c>
      <c r="M157" s="20">
        <v>3.3316590583019399</v>
      </c>
      <c r="N157" s="20">
        <v>25</v>
      </c>
      <c r="O157" s="20">
        <v>7</v>
      </c>
      <c r="P157" s="20">
        <v>8</v>
      </c>
      <c r="Q157" s="20">
        <v>5</v>
      </c>
      <c r="R157">
        <v>200</v>
      </c>
      <c r="S157">
        <v>35</v>
      </c>
      <c r="T157">
        <v>702.20985702857104</v>
      </c>
      <c r="U157">
        <v>192</v>
      </c>
      <c r="V157">
        <v>35</v>
      </c>
      <c r="W157">
        <v>731.468601071428</v>
      </c>
      <c r="X157">
        <v>453.94809555727699</v>
      </c>
      <c r="Y157" s="20" t="s">
        <v>64</v>
      </c>
      <c r="Z157">
        <v>2720</v>
      </c>
      <c r="AA157">
        <v>640</v>
      </c>
      <c r="AB157">
        <v>3360</v>
      </c>
      <c r="AC157">
        <v>70.754858490424496</v>
      </c>
      <c r="AD157">
        <v>4.7169905660282998</v>
      </c>
      <c r="AE157">
        <v>4.7169905660282998</v>
      </c>
      <c r="AF157">
        <v>132.43012278711501</v>
      </c>
      <c r="AG157">
        <v>28.114005292363</v>
      </c>
      <c r="AH157">
        <v>29.927157987553699</v>
      </c>
      <c r="AI157">
        <v>11.754623079677501</v>
      </c>
      <c r="AJ157">
        <v>18.064440052969399</v>
      </c>
      <c r="AK157">
        <v>10.514321408878001</v>
      </c>
      <c r="AL157" s="20">
        <v>15.5367600238917</v>
      </c>
      <c r="AM157" s="20">
        <v>21.6293750129309</v>
      </c>
      <c r="AN157" s="20" t="s">
        <v>58</v>
      </c>
    </row>
    <row r="158" spans="1:40" x14ac:dyDescent="0.25">
      <c r="A158" s="20">
        <v>156</v>
      </c>
      <c r="B158" s="20" t="s">
        <v>223</v>
      </c>
      <c r="C158" s="20" t="s">
        <v>80</v>
      </c>
      <c r="D158">
        <v>1</v>
      </c>
      <c r="E158" s="20" t="str">
        <f t="shared" si="2"/>
        <v>SLAD</v>
      </c>
      <c r="F158" s="20">
        <v>46.254199999999997</v>
      </c>
      <c r="G158" s="20">
        <v>154.43200999999999</v>
      </c>
      <c r="H158" s="20">
        <v>10</v>
      </c>
      <c r="I158" s="20">
        <v>8.1</v>
      </c>
      <c r="J158" s="20">
        <v>42</v>
      </c>
      <c r="K158" s="20">
        <v>58</v>
      </c>
      <c r="L158" s="20">
        <v>-97.726514190079897</v>
      </c>
      <c r="M158" s="20">
        <v>3.63963975960894</v>
      </c>
      <c r="N158" s="20">
        <v>28</v>
      </c>
      <c r="O158" s="20">
        <v>8</v>
      </c>
      <c r="P158" s="20">
        <v>8</v>
      </c>
      <c r="Q158" s="20">
        <v>5</v>
      </c>
      <c r="R158">
        <v>224</v>
      </c>
      <c r="S158">
        <v>40</v>
      </c>
      <c r="T158">
        <v>356.31697450892898</v>
      </c>
      <c r="U158">
        <v>216</v>
      </c>
      <c r="V158">
        <v>35</v>
      </c>
      <c r="W158">
        <v>422.301599417989</v>
      </c>
      <c r="X158">
        <v>331.529314045962</v>
      </c>
      <c r="Y158" s="20" t="s">
        <v>64</v>
      </c>
      <c r="Z158">
        <v>2000</v>
      </c>
      <c r="AA158">
        <v>1240</v>
      </c>
      <c r="AB158">
        <v>3240</v>
      </c>
      <c r="AC158">
        <v>114.48253141855299</v>
      </c>
      <c r="AD158">
        <v>12.2576506721313</v>
      </c>
      <c r="AE158">
        <v>20.155644370746401</v>
      </c>
      <c r="AF158">
        <v>116.639312692641</v>
      </c>
      <c r="AG158">
        <v>25.067055329723601</v>
      </c>
      <c r="AH158">
        <v>27.881113826902101</v>
      </c>
      <c r="AI158">
        <v>11.1717518142774</v>
      </c>
      <c r="AJ158">
        <v>17.755246018810102</v>
      </c>
      <c r="AK158">
        <v>10.2302701763422</v>
      </c>
      <c r="AL158" s="20">
        <v>68.580036164615706</v>
      </c>
      <c r="AM158" s="20">
        <v>75.385928324721206</v>
      </c>
      <c r="AN158" s="20" t="s">
        <v>58</v>
      </c>
    </row>
    <row r="159" spans="1:40" x14ac:dyDescent="0.25">
      <c r="A159" s="20">
        <v>157</v>
      </c>
      <c r="B159" s="20" t="s">
        <v>224</v>
      </c>
      <c r="C159" s="20" t="s">
        <v>61</v>
      </c>
      <c r="D159">
        <v>0</v>
      </c>
      <c r="E159" s="20" t="str">
        <f t="shared" si="2"/>
        <v>HAYE</v>
      </c>
      <c r="F159" s="20">
        <v>1.07</v>
      </c>
      <c r="G159" s="20">
        <v>126.28</v>
      </c>
      <c r="H159" s="20">
        <v>22</v>
      </c>
      <c r="I159" s="20">
        <v>7.45</v>
      </c>
      <c r="J159" s="20">
        <v>26</v>
      </c>
      <c r="K159" s="20">
        <v>38</v>
      </c>
      <c r="L159" s="20">
        <v>103.872631079843</v>
      </c>
      <c r="M159" s="20">
        <v>1.51</v>
      </c>
      <c r="N159" s="20">
        <v>29</v>
      </c>
      <c r="O159" s="20">
        <v>14</v>
      </c>
      <c r="P159" s="20">
        <v>7.5</v>
      </c>
      <c r="Q159" s="20">
        <v>5.12</v>
      </c>
      <c r="R159" s="25">
        <v>217.5</v>
      </c>
      <c r="S159" s="25">
        <v>71.680000000000007</v>
      </c>
      <c r="T159" s="25">
        <v>31.038793103448299</v>
      </c>
      <c r="U159" s="25">
        <v>165</v>
      </c>
      <c r="V159" s="25">
        <v>56.32</v>
      </c>
      <c r="W159" s="25">
        <v>52.073347107438003</v>
      </c>
      <c r="X159" s="25">
        <v>57.553541177398699</v>
      </c>
      <c r="Y159" s="20" t="s">
        <v>102</v>
      </c>
      <c r="Z159" s="25">
        <v>2150.4</v>
      </c>
      <c r="AA159" s="25">
        <v>1190.4000000000001</v>
      </c>
      <c r="AB159" s="25">
        <v>3340.8</v>
      </c>
      <c r="AC159" s="25">
        <v>29.705287408136599</v>
      </c>
      <c r="AD159" s="25">
        <v>4.5404955676665999</v>
      </c>
      <c r="AE159" s="25">
        <v>4.5404955676665999</v>
      </c>
      <c r="AF159" s="25">
        <v>41.219037848621703</v>
      </c>
      <c r="AG159" s="25">
        <v>31.191445407350699</v>
      </c>
      <c r="AH159" s="25">
        <v>22.9296715329757</v>
      </c>
      <c r="AI159" s="25">
        <v>16.972552008237599</v>
      </c>
      <c r="AJ159" s="25">
        <v>14.2201255890665</v>
      </c>
      <c r="AK159" s="25">
        <v>10.099839467932</v>
      </c>
      <c r="AL159" s="20">
        <v>15.5223853144418</v>
      </c>
      <c r="AM159" s="20">
        <v>14.900249987500199</v>
      </c>
      <c r="AN159" s="20" t="s">
        <v>58</v>
      </c>
    </row>
    <row r="160" spans="1:40" x14ac:dyDescent="0.25">
      <c r="A160" s="20">
        <v>158</v>
      </c>
      <c r="B160" s="20" t="s">
        <v>225</v>
      </c>
      <c r="C160" s="20" t="s">
        <v>80</v>
      </c>
      <c r="D160">
        <v>0</v>
      </c>
      <c r="E160" s="20" t="str">
        <f t="shared" si="2"/>
        <v>CIRE</v>
      </c>
      <c r="F160" s="20">
        <v>37.54</v>
      </c>
      <c r="G160" s="20">
        <v>138.61000000000001</v>
      </c>
      <c r="H160" s="20">
        <v>8.9</v>
      </c>
      <c r="I160" s="20">
        <v>6.6</v>
      </c>
      <c r="J160" s="20">
        <v>49</v>
      </c>
      <c r="K160" s="20">
        <v>42</v>
      </c>
      <c r="L160" s="20">
        <v>-99</v>
      </c>
      <c r="M160" s="20">
        <v>1.51</v>
      </c>
      <c r="N160" s="20">
        <v>21</v>
      </c>
      <c r="O160" s="20">
        <v>17</v>
      </c>
      <c r="P160" s="20">
        <v>1.75</v>
      </c>
      <c r="Q160" s="20">
        <v>1.75</v>
      </c>
      <c r="R160">
        <v>36.75</v>
      </c>
      <c r="S160">
        <v>29.75</v>
      </c>
      <c r="T160">
        <v>28.817927170868298</v>
      </c>
      <c r="U160">
        <v>29.75</v>
      </c>
      <c r="V160">
        <v>19.25</v>
      </c>
      <c r="W160">
        <v>55.016042780748599</v>
      </c>
      <c r="X160">
        <v>62.644122414710203</v>
      </c>
      <c r="Y160" s="20" t="s">
        <v>76</v>
      </c>
      <c r="Z160">
        <v>88.8125</v>
      </c>
      <c r="AA160">
        <v>45.9375</v>
      </c>
      <c r="AB160">
        <v>134.75</v>
      </c>
      <c r="AC160">
        <v>20.5950540178947</v>
      </c>
      <c r="AD160">
        <v>2.76699295264733</v>
      </c>
      <c r="AE160">
        <v>11.408604209104601</v>
      </c>
      <c r="AF160">
        <v>18.750526809827701</v>
      </c>
      <c r="AG160">
        <v>7.2206955211900699</v>
      </c>
      <c r="AH160">
        <v>5.2058133006683001</v>
      </c>
      <c r="AI160">
        <v>3.0720863464927701</v>
      </c>
      <c r="AJ160">
        <v>3.9491322064519299</v>
      </c>
      <c r="AK160">
        <v>3.3646624351047199</v>
      </c>
      <c r="AL160" s="20">
        <v>16.742200479029002</v>
      </c>
      <c r="AM160" s="20">
        <v>17.239765068294901</v>
      </c>
      <c r="AN160" s="20" t="s">
        <v>58</v>
      </c>
    </row>
    <row r="161" spans="1:40" x14ac:dyDescent="0.25">
      <c r="A161" s="20">
        <v>159</v>
      </c>
      <c r="B161" s="20" t="s">
        <v>226</v>
      </c>
      <c r="C161" s="20" t="s">
        <v>56</v>
      </c>
      <c r="D161">
        <v>0</v>
      </c>
      <c r="E161" s="20" t="str">
        <f t="shared" si="2"/>
        <v>ASAN</v>
      </c>
      <c r="F161" s="20">
        <v>37.216999999999999</v>
      </c>
      <c r="G161" s="20">
        <v>136.70189999999999</v>
      </c>
      <c r="H161" s="20">
        <v>9.6199999999999992</v>
      </c>
      <c r="I161" s="20">
        <v>6.73</v>
      </c>
      <c r="J161" s="20">
        <v>58</v>
      </c>
      <c r="K161" s="20">
        <v>60</v>
      </c>
      <c r="L161" s="20">
        <v>140.43369498124801</v>
      </c>
      <c r="M161" s="20">
        <v>0.1</v>
      </c>
      <c r="N161" s="20">
        <v>15</v>
      </c>
      <c r="O161" s="20">
        <v>8</v>
      </c>
      <c r="P161" s="20">
        <v>2</v>
      </c>
      <c r="Q161" s="20">
        <v>2</v>
      </c>
      <c r="R161">
        <v>30</v>
      </c>
      <c r="S161">
        <v>16</v>
      </c>
      <c r="T161">
        <v>108.629416666667</v>
      </c>
      <c r="U161">
        <v>28</v>
      </c>
      <c r="V161">
        <v>16</v>
      </c>
      <c r="W161">
        <v>116.388660714286</v>
      </c>
      <c r="X161">
        <v>83.371788042879402</v>
      </c>
      <c r="Y161" s="20" t="s">
        <v>155</v>
      </c>
      <c r="Z161">
        <v>84</v>
      </c>
      <c r="AA161">
        <v>8</v>
      </c>
      <c r="AB161">
        <v>92</v>
      </c>
      <c r="AC161">
        <v>8.6023252670426302</v>
      </c>
      <c r="AD161">
        <v>1.4142135623731</v>
      </c>
      <c r="AE161">
        <v>1.4142135623731</v>
      </c>
      <c r="AF161">
        <v>8.6512947548774406</v>
      </c>
      <c r="AG161">
        <v>7.9428133398808498</v>
      </c>
      <c r="AH161">
        <v>7.4588694275091099</v>
      </c>
      <c r="AI161">
        <v>6.8977597765824896</v>
      </c>
      <c r="AJ161">
        <v>3.6518142140201801</v>
      </c>
      <c r="AK161">
        <v>3.5845134386490498</v>
      </c>
      <c r="AL161" s="20">
        <v>0.64791426902021598</v>
      </c>
      <c r="AM161" s="20">
        <v>1.75933789818784</v>
      </c>
      <c r="AN161" s="20" t="s">
        <v>58</v>
      </c>
    </row>
    <row r="162" spans="1:40" x14ac:dyDescent="0.25">
      <c r="A162" s="20">
        <v>160</v>
      </c>
      <c r="B162" s="20" t="s">
        <v>227</v>
      </c>
      <c r="C162" s="20" t="s">
        <v>61</v>
      </c>
      <c r="D162">
        <v>1</v>
      </c>
      <c r="E162" s="20" t="str">
        <f t="shared" si="2"/>
        <v>HAYE</v>
      </c>
      <c r="F162" s="20">
        <v>-2.62</v>
      </c>
      <c r="G162" s="20">
        <v>100.84</v>
      </c>
      <c r="H162" s="20">
        <v>35</v>
      </c>
      <c r="I162" s="20">
        <v>7.86</v>
      </c>
      <c r="J162" s="20">
        <v>317.29000000000002</v>
      </c>
      <c r="K162" s="20">
        <v>25</v>
      </c>
      <c r="L162" s="20">
        <v>97.208720200193298</v>
      </c>
      <c r="M162" s="20">
        <v>0.73</v>
      </c>
      <c r="N162" s="20">
        <v>16</v>
      </c>
      <c r="O162" s="20">
        <v>15</v>
      </c>
      <c r="P162" s="20">
        <v>14</v>
      </c>
      <c r="Q162" s="20">
        <v>10.81</v>
      </c>
      <c r="R162" s="25">
        <v>224</v>
      </c>
      <c r="S162" s="25">
        <v>162.15</v>
      </c>
      <c r="T162" s="25">
        <v>34.3445416666667</v>
      </c>
      <c r="U162" s="25">
        <v>140</v>
      </c>
      <c r="V162" s="25">
        <v>97.29</v>
      </c>
      <c r="W162" s="25">
        <v>91.585444444444406</v>
      </c>
      <c r="X162" s="25">
        <v>183.15214278262499</v>
      </c>
      <c r="Y162" s="20" t="s">
        <v>102</v>
      </c>
      <c r="Z162" s="29">
        <v>1059.3800000000001</v>
      </c>
      <c r="AA162" s="25">
        <v>605.36</v>
      </c>
      <c r="AB162" s="25">
        <v>1664.74</v>
      </c>
      <c r="AC162" s="25">
        <v>21.684418945408702</v>
      </c>
      <c r="AD162" s="25">
        <v>8.8438693454844799</v>
      </c>
      <c r="AE162" s="25">
        <v>8.8438693454844799</v>
      </c>
      <c r="AF162" s="25">
        <v>45.419583435177003</v>
      </c>
      <c r="AG162" s="25">
        <v>41.093590846541403</v>
      </c>
      <c r="AH162" s="25">
        <v>19.514316991430402</v>
      </c>
      <c r="AI162" s="25">
        <v>16.6061660050071</v>
      </c>
      <c r="AJ162" s="25">
        <v>24.590857407073401</v>
      </c>
      <c r="AK162" s="25">
        <v>20.183808676320901</v>
      </c>
      <c r="AL162" s="20">
        <v>9.4846101896704305</v>
      </c>
      <c r="AM162" s="20">
        <v>8.1415609117662502</v>
      </c>
      <c r="AN162" s="20" t="s">
        <v>58</v>
      </c>
    </row>
    <row r="163" spans="1:40" x14ac:dyDescent="0.25">
      <c r="A163" s="20">
        <v>161</v>
      </c>
      <c r="B163" s="20" t="s">
        <v>228</v>
      </c>
      <c r="C163" s="20" t="s">
        <v>61</v>
      </c>
      <c r="D163">
        <v>1</v>
      </c>
      <c r="E163" s="20" t="str">
        <f t="shared" si="2"/>
        <v>JIxx</v>
      </c>
      <c r="F163" s="20">
        <v>-2.7155999999999998</v>
      </c>
      <c r="G163" s="20">
        <v>100.80110000000001</v>
      </c>
      <c r="H163" s="20">
        <v>44.638300000000001</v>
      </c>
      <c r="I163" s="20">
        <v>7.9</v>
      </c>
      <c r="J163" s="20">
        <v>319</v>
      </c>
      <c r="K163" s="20">
        <v>19</v>
      </c>
      <c r="L163" s="20">
        <v>99.3271481636597</v>
      </c>
      <c r="M163" s="20">
        <v>29.9876592277142</v>
      </c>
      <c r="N163" s="20">
        <v>25</v>
      </c>
      <c r="O163" s="20">
        <v>9</v>
      </c>
      <c r="P163" s="20">
        <v>12.5</v>
      </c>
      <c r="Q163" s="20">
        <v>10</v>
      </c>
      <c r="R163">
        <v>312.5</v>
      </c>
      <c r="S163">
        <v>90</v>
      </c>
      <c r="T163">
        <v>55.0443310666667</v>
      </c>
      <c r="U163">
        <v>225</v>
      </c>
      <c r="V163">
        <v>90</v>
      </c>
      <c r="W163">
        <v>76.450459814814806</v>
      </c>
      <c r="X163">
        <v>84.119991456997994</v>
      </c>
      <c r="Y163" s="20" t="s">
        <v>64</v>
      </c>
      <c r="Z163" s="28">
        <v>2625</v>
      </c>
      <c r="AA163">
        <v>750</v>
      </c>
      <c r="AB163">
        <v>3375</v>
      </c>
      <c r="AC163">
        <v>8.0039052967910607</v>
      </c>
      <c r="AD163">
        <v>8.0039052967910607</v>
      </c>
      <c r="AE163">
        <v>8.0039052967910607</v>
      </c>
      <c r="AF163">
        <v>73.457982154839002</v>
      </c>
      <c r="AG163">
        <v>72.964113861120396</v>
      </c>
      <c r="AH163">
        <v>25.5661309320508</v>
      </c>
      <c r="AI163">
        <v>22.727097640265701</v>
      </c>
      <c r="AJ163">
        <v>24.908456992459801</v>
      </c>
      <c r="AK163">
        <v>20.328313400595899</v>
      </c>
      <c r="AL163" s="20">
        <v>4.78525442792753</v>
      </c>
      <c r="AM163" s="20">
        <v>4.5968963660278401</v>
      </c>
      <c r="AN163" s="20" t="s">
        <v>58</v>
      </c>
    </row>
    <row r="164" spans="1:40" x14ac:dyDescent="0.25">
      <c r="A164" s="20">
        <v>162</v>
      </c>
      <c r="B164" s="20" t="s">
        <v>229</v>
      </c>
      <c r="C164" s="20" t="s">
        <v>61</v>
      </c>
      <c r="D164">
        <v>1</v>
      </c>
      <c r="E164" s="20" t="str">
        <f t="shared" si="2"/>
        <v>KONC</v>
      </c>
      <c r="F164" s="20">
        <v>-2.7636500000000002</v>
      </c>
      <c r="G164" s="20">
        <v>100.49818999999999</v>
      </c>
      <c r="H164" s="20">
        <v>34.712420000000002</v>
      </c>
      <c r="I164" s="20">
        <v>7.9</v>
      </c>
      <c r="J164" s="20">
        <v>323</v>
      </c>
      <c r="K164" s="20">
        <v>15</v>
      </c>
      <c r="L164" s="20">
        <v>96.835706847083401</v>
      </c>
      <c r="M164" s="20">
        <v>7.5364247744873998</v>
      </c>
      <c r="N164" s="20">
        <v>20</v>
      </c>
      <c r="O164" s="20">
        <v>19</v>
      </c>
      <c r="P164" s="20">
        <v>12</v>
      </c>
      <c r="Q164" s="20">
        <v>10</v>
      </c>
      <c r="R164">
        <v>240</v>
      </c>
      <c r="S164">
        <v>190</v>
      </c>
      <c r="T164">
        <v>36.931578947368401</v>
      </c>
      <c r="U164">
        <v>192</v>
      </c>
      <c r="V164">
        <v>110</v>
      </c>
      <c r="W164">
        <v>79.738636363636402</v>
      </c>
      <c r="X164">
        <v>123.938005186053</v>
      </c>
      <c r="Y164" s="20" t="s">
        <v>64</v>
      </c>
      <c r="Z164" s="28">
        <v>1680</v>
      </c>
      <c r="AA164">
        <v>600</v>
      </c>
      <c r="AB164">
        <v>2280</v>
      </c>
      <c r="AC164">
        <v>59.5063021872474</v>
      </c>
      <c r="AD164">
        <v>7.8102496759066504</v>
      </c>
      <c r="AE164">
        <v>7.8102496759066504</v>
      </c>
      <c r="AF164">
        <v>63.405064681760599</v>
      </c>
      <c r="AG164">
        <v>44.196290261678698</v>
      </c>
      <c r="AH164">
        <v>22.5698559177528</v>
      </c>
      <c r="AI164">
        <v>17.0080577443631</v>
      </c>
      <c r="AJ164">
        <v>23.475611311125299</v>
      </c>
      <c r="AK164">
        <v>18.619154209178401</v>
      </c>
      <c r="AL164" s="20">
        <v>13.1355263819156</v>
      </c>
      <c r="AM164" s="20">
        <v>14.3082465522509</v>
      </c>
      <c r="AN164" s="20" t="s">
        <v>58</v>
      </c>
    </row>
    <row r="165" spans="1:40" x14ac:dyDescent="0.25">
      <c r="A165" s="20">
        <v>163</v>
      </c>
      <c r="B165" s="20" t="s">
        <v>230</v>
      </c>
      <c r="C165" s="20" t="s">
        <v>61</v>
      </c>
      <c r="D165">
        <v>1</v>
      </c>
      <c r="E165" s="20" t="str">
        <f t="shared" si="2"/>
        <v>SLAD</v>
      </c>
      <c r="F165" s="20">
        <v>-2.5150600000000001</v>
      </c>
      <c r="G165" s="20">
        <v>100.91388000000001</v>
      </c>
      <c r="H165" s="20">
        <v>45</v>
      </c>
      <c r="I165" s="20">
        <v>7.9</v>
      </c>
      <c r="J165" s="20">
        <v>319</v>
      </c>
      <c r="K165" s="20">
        <v>19</v>
      </c>
      <c r="L165" s="20">
        <v>91.322110557942295</v>
      </c>
      <c r="M165" s="20">
        <v>27.093749227714198</v>
      </c>
      <c r="N165" s="20">
        <v>20</v>
      </c>
      <c r="O165" s="20">
        <v>11</v>
      </c>
      <c r="P165" s="20">
        <v>12</v>
      </c>
      <c r="Q165" s="20">
        <v>10</v>
      </c>
      <c r="R165">
        <v>240</v>
      </c>
      <c r="S165">
        <v>110</v>
      </c>
      <c r="T165">
        <v>63.1636363636364</v>
      </c>
      <c r="U165">
        <v>168</v>
      </c>
      <c r="V165">
        <v>100</v>
      </c>
      <c r="W165">
        <v>99.257142857142895</v>
      </c>
      <c r="X165">
        <v>145.73365376268501</v>
      </c>
      <c r="Y165" s="20" t="s">
        <v>64</v>
      </c>
      <c r="Z165">
        <v>480</v>
      </c>
      <c r="AA165">
        <v>480</v>
      </c>
      <c r="AB165">
        <v>960</v>
      </c>
      <c r="AC165">
        <v>33.541019662496801</v>
      </c>
      <c r="AD165">
        <v>7.8102496759066504</v>
      </c>
      <c r="AE165">
        <v>7.8102496759066504</v>
      </c>
      <c r="AF165">
        <v>49.750820746076002</v>
      </c>
      <c r="AG165">
        <v>47.639418091666201</v>
      </c>
      <c r="AH165">
        <v>19.600507827614901</v>
      </c>
      <c r="AI165">
        <v>17.608343055272901</v>
      </c>
      <c r="AJ165">
        <v>22.636871428771201</v>
      </c>
      <c r="AK165">
        <v>19.091189616123401</v>
      </c>
      <c r="AL165" s="20">
        <v>6.0999601129843501</v>
      </c>
      <c r="AM165" s="20">
        <v>6.4671983215299598</v>
      </c>
      <c r="AN165" s="20" t="s">
        <v>58</v>
      </c>
    </row>
    <row r="166" spans="1:40" x14ac:dyDescent="0.25">
      <c r="A166" s="20">
        <v>164</v>
      </c>
      <c r="B166" s="20" t="s">
        <v>231</v>
      </c>
      <c r="C166" s="20" t="s">
        <v>61</v>
      </c>
      <c r="D166">
        <v>1</v>
      </c>
      <c r="E166" s="20" t="str">
        <f t="shared" si="2"/>
        <v>JIxx</v>
      </c>
      <c r="F166" s="20">
        <v>-13.3758</v>
      </c>
      <c r="G166" s="20">
        <v>-76.521299999999997</v>
      </c>
      <c r="H166" s="20">
        <v>29.4163</v>
      </c>
      <c r="I166" s="20">
        <v>8</v>
      </c>
      <c r="J166" s="20">
        <v>323.77999999999901</v>
      </c>
      <c r="K166" s="20">
        <v>27</v>
      </c>
      <c r="L166" s="20">
        <v>66.914459459417401</v>
      </c>
      <c r="M166" s="20">
        <v>2.8578427511720399</v>
      </c>
      <c r="N166" s="20">
        <v>16</v>
      </c>
      <c r="O166" s="20">
        <v>12</v>
      </c>
      <c r="P166" s="20">
        <v>12</v>
      </c>
      <c r="Q166" s="20">
        <v>9</v>
      </c>
      <c r="R166">
        <v>192</v>
      </c>
      <c r="S166">
        <v>108</v>
      </c>
      <c r="T166">
        <v>163.00569166666699</v>
      </c>
      <c r="U166">
        <v>156</v>
      </c>
      <c r="V166">
        <v>108</v>
      </c>
      <c r="W166">
        <v>200.62238974358999</v>
      </c>
      <c r="X166">
        <v>193.83696905664499</v>
      </c>
      <c r="Y166" s="20" t="s">
        <v>64</v>
      </c>
      <c r="Z166">
        <v>3564</v>
      </c>
      <c r="AA166">
        <v>1080</v>
      </c>
      <c r="AB166">
        <v>4644</v>
      </c>
      <c r="AC166">
        <v>104.45214215132199</v>
      </c>
      <c r="AD166">
        <v>7.5</v>
      </c>
      <c r="AE166">
        <v>81.180354766408897</v>
      </c>
      <c r="AF166">
        <v>73.8021521596214</v>
      </c>
      <c r="AG166">
        <v>58.5381500207587</v>
      </c>
      <c r="AH166">
        <v>25.106854163773001</v>
      </c>
      <c r="AI166">
        <v>19.2796614796898</v>
      </c>
      <c r="AJ166">
        <v>23.906379652768699</v>
      </c>
      <c r="AK166">
        <v>18.017203874363499</v>
      </c>
      <c r="AL166" s="20">
        <v>101.21546128611</v>
      </c>
      <c r="AM166" s="20">
        <v>96.899367387511901</v>
      </c>
      <c r="AN166" s="20" t="s">
        <v>58</v>
      </c>
    </row>
    <row r="167" spans="1:40" x14ac:dyDescent="0.25">
      <c r="A167" s="20">
        <v>165</v>
      </c>
      <c r="B167" s="20" t="s">
        <v>232</v>
      </c>
      <c r="C167" s="20" t="s">
        <v>61</v>
      </c>
      <c r="D167">
        <v>1</v>
      </c>
      <c r="E167" s="20" t="str">
        <f t="shared" si="2"/>
        <v>KONC</v>
      </c>
      <c r="F167" s="20">
        <v>-13.04828</v>
      </c>
      <c r="G167" s="20">
        <v>-76.542689999999993</v>
      </c>
      <c r="H167" s="20">
        <v>39</v>
      </c>
      <c r="I167" s="20">
        <v>8</v>
      </c>
      <c r="J167" s="20">
        <v>324</v>
      </c>
      <c r="K167" s="20">
        <v>27</v>
      </c>
      <c r="L167" s="20">
        <v>60.7643867567689</v>
      </c>
      <c r="M167" s="20">
        <v>4.95071750130227</v>
      </c>
      <c r="N167" s="20">
        <v>20</v>
      </c>
      <c r="O167" s="20">
        <v>16</v>
      </c>
      <c r="P167" s="20">
        <v>12</v>
      </c>
      <c r="Q167" s="20">
        <v>10</v>
      </c>
      <c r="R167">
        <v>240</v>
      </c>
      <c r="S167">
        <v>160</v>
      </c>
      <c r="T167">
        <v>52.5</v>
      </c>
      <c r="U167">
        <v>168</v>
      </c>
      <c r="V167">
        <v>160</v>
      </c>
      <c r="W167">
        <v>75</v>
      </c>
      <c r="X167">
        <v>91.2981453862579</v>
      </c>
      <c r="Y167" s="20" t="s">
        <v>64</v>
      </c>
      <c r="Z167">
        <v>4680</v>
      </c>
      <c r="AA167">
        <v>2400</v>
      </c>
      <c r="AB167">
        <v>7080</v>
      </c>
      <c r="AC167">
        <v>0</v>
      </c>
      <c r="AD167">
        <v>7.8102496759066504</v>
      </c>
      <c r="AE167">
        <v>7.8102496759066504</v>
      </c>
      <c r="AF167">
        <v>127.906302650227</v>
      </c>
      <c r="AG167">
        <v>88.039631380588304</v>
      </c>
      <c r="AH167">
        <v>34.656755372115597</v>
      </c>
      <c r="AI167">
        <v>26.662387430615698</v>
      </c>
      <c r="AJ167">
        <v>26.1409184047093</v>
      </c>
      <c r="AK167">
        <v>21.339603435002001</v>
      </c>
      <c r="AL167" s="20">
        <v>106.24011533714599</v>
      </c>
      <c r="AM167" s="20">
        <v>102.728054160925</v>
      </c>
      <c r="AN167" s="20" t="s">
        <v>58</v>
      </c>
    </row>
    <row r="168" spans="1:40" x14ac:dyDescent="0.25">
      <c r="A168" s="20">
        <v>166</v>
      </c>
      <c r="B168" s="20" t="s">
        <v>233</v>
      </c>
      <c r="C168" s="20" t="s">
        <v>61</v>
      </c>
      <c r="D168">
        <v>1</v>
      </c>
      <c r="E168" s="20" t="str">
        <f t="shared" si="2"/>
        <v>JIxx</v>
      </c>
      <c r="F168" s="20">
        <v>-8.4878</v>
      </c>
      <c r="G168" s="20">
        <v>156.96359000000001</v>
      </c>
      <c r="H168" s="20">
        <v>11.607100000000001</v>
      </c>
      <c r="I168" s="20">
        <v>8.1</v>
      </c>
      <c r="J168" s="20">
        <v>305</v>
      </c>
      <c r="K168" s="20">
        <v>24.6999999999999</v>
      </c>
      <c r="L168" s="20">
        <v>85.431263817884499</v>
      </c>
      <c r="M168" s="20">
        <v>1.16046463099462</v>
      </c>
      <c r="N168" s="20">
        <v>20</v>
      </c>
      <c r="O168" s="20">
        <v>8</v>
      </c>
      <c r="P168" s="20">
        <v>15</v>
      </c>
      <c r="Q168" s="20">
        <v>10</v>
      </c>
      <c r="R168">
        <v>300</v>
      </c>
      <c r="S168">
        <v>80</v>
      </c>
      <c r="T168">
        <v>147.375938375</v>
      </c>
      <c r="U168">
        <v>285</v>
      </c>
      <c r="V168">
        <v>80</v>
      </c>
      <c r="W168">
        <v>155.13256671052599</v>
      </c>
      <c r="X168">
        <v>96.638243127072599</v>
      </c>
      <c r="Y168" s="20" t="s">
        <v>57</v>
      </c>
      <c r="Z168">
        <v>10050</v>
      </c>
      <c r="AA168">
        <v>4200</v>
      </c>
      <c r="AB168">
        <v>14250</v>
      </c>
      <c r="AC168">
        <v>41.608292442733102</v>
      </c>
      <c r="AD168">
        <v>9.0138781886599695</v>
      </c>
      <c r="AE168">
        <v>9.0138781886599695</v>
      </c>
      <c r="AF168">
        <v>181.01213175947399</v>
      </c>
      <c r="AG168">
        <v>59.50891576595</v>
      </c>
      <c r="AH168">
        <v>50.688871212957103</v>
      </c>
      <c r="AI168">
        <v>24.017342441775501</v>
      </c>
      <c r="AJ168">
        <v>32.320599010788698</v>
      </c>
      <c r="AK168">
        <v>20.0341596571695</v>
      </c>
      <c r="AL168" s="20">
        <v>22.895816809627</v>
      </c>
      <c r="AM168" s="20">
        <v>101.511268556796</v>
      </c>
      <c r="AN168" s="20" t="s">
        <v>58</v>
      </c>
    </row>
    <row r="169" spans="1:40" x14ac:dyDescent="0.25">
      <c r="A169" s="20">
        <v>167</v>
      </c>
      <c r="B169" s="20" t="s">
        <v>234</v>
      </c>
      <c r="C169" s="20" t="s">
        <v>56</v>
      </c>
      <c r="D169">
        <v>1</v>
      </c>
      <c r="E169" s="20" t="str">
        <f t="shared" si="2"/>
        <v>HAYE</v>
      </c>
      <c r="F169" s="20">
        <v>-26</v>
      </c>
      <c r="G169" s="20">
        <v>-177.51</v>
      </c>
      <c r="H169" s="20">
        <v>152.5</v>
      </c>
      <c r="I169" s="20">
        <v>7.83</v>
      </c>
      <c r="J169" s="20">
        <v>12</v>
      </c>
      <c r="K169" s="20">
        <v>9</v>
      </c>
      <c r="L169" s="20">
        <v>35.682722073464802</v>
      </c>
      <c r="M169" s="20">
        <v>137.71</v>
      </c>
      <c r="N169" s="20">
        <v>21</v>
      </c>
      <c r="O169" s="20">
        <v>21</v>
      </c>
      <c r="P169" s="20">
        <v>9</v>
      </c>
      <c r="Q169" s="20">
        <v>9</v>
      </c>
      <c r="R169" s="25">
        <v>189</v>
      </c>
      <c r="S169" s="25">
        <v>189</v>
      </c>
      <c r="T169" s="25">
        <v>29.966916099773201</v>
      </c>
      <c r="U169" s="25">
        <v>126</v>
      </c>
      <c r="V169" s="25">
        <v>99</v>
      </c>
      <c r="W169" s="25">
        <v>85.814350649350601</v>
      </c>
      <c r="X169" s="25">
        <v>119.57164060717599</v>
      </c>
      <c r="Y169" s="20" t="s">
        <v>102</v>
      </c>
      <c r="Z169" s="25">
        <v>1458</v>
      </c>
      <c r="AA169" s="25">
        <v>405</v>
      </c>
      <c r="AB169" s="25">
        <v>1863</v>
      </c>
      <c r="AC169" s="25">
        <v>14.2302494707577</v>
      </c>
      <c r="AD169" s="25">
        <v>6.3639610306789303</v>
      </c>
      <c r="AE169" s="25">
        <v>22.945587811167499</v>
      </c>
      <c r="AF169" s="25">
        <v>18.765573555989398</v>
      </c>
      <c r="AG169" s="25">
        <v>40.653898024823</v>
      </c>
      <c r="AH169" s="25">
        <v>14.748915910228501</v>
      </c>
      <c r="AI169" s="25">
        <v>28.481182310556999</v>
      </c>
      <c r="AJ169" s="25">
        <v>14.024970095988801</v>
      </c>
      <c r="AK169" s="25">
        <v>17.094662495868299</v>
      </c>
      <c r="AL169" s="20">
        <v>26.6123930477888</v>
      </c>
      <c r="AM169" s="20">
        <v>18.3218110035553</v>
      </c>
      <c r="AN169" s="20" t="s">
        <v>58</v>
      </c>
    </row>
    <row r="170" spans="1:40" x14ac:dyDescent="0.25">
      <c r="A170" s="20">
        <v>168</v>
      </c>
      <c r="B170" s="20" t="s">
        <v>235</v>
      </c>
      <c r="C170" s="20" t="s">
        <v>61</v>
      </c>
      <c r="D170">
        <v>1</v>
      </c>
      <c r="E170" s="20" t="str">
        <f t="shared" si="2"/>
        <v>BEJA</v>
      </c>
      <c r="F170" s="20">
        <v>-22.34</v>
      </c>
      <c r="G170" s="20">
        <v>-70.06</v>
      </c>
      <c r="H170" s="20">
        <v>51.8</v>
      </c>
      <c r="I170" s="20">
        <v>7.7</v>
      </c>
      <c r="J170" s="20">
        <v>6</v>
      </c>
      <c r="K170" s="20">
        <v>20</v>
      </c>
      <c r="L170" s="20">
        <v>7.1493492853841598</v>
      </c>
      <c r="M170" s="20">
        <v>10.106</v>
      </c>
      <c r="N170" s="20">
        <v>19</v>
      </c>
      <c r="O170" s="20">
        <v>12</v>
      </c>
      <c r="P170" s="20">
        <v>14</v>
      </c>
      <c r="Q170" s="20">
        <v>14</v>
      </c>
      <c r="R170">
        <v>266</v>
      </c>
      <c r="S170">
        <v>168</v>
      </c>
      <c r="T170">
        <v>20.364035087719301</v>
      </c>
      <c r="U170">
        <v>196</v>
      </c>
      <c r="V170">
        <v>84</v>
      </c>
      <c r="W170">
        <v>55.273809523809497</v>
      </c>
      <c r="X170">
        <v>56.618316559999698</v>
      </c>
      <c r="Y170" s="20" t="s">
        <v>110</v>
      </c>
      <c r="Z170">
        <v>3528</v>
      </c>
      <c r="AA170">
        <v>1372</v>
      </c>
      <c r="AB170">
        <v>4900</v>
      </c>
      <c r="AC170">
        <v>67.904849801523497</v>
      </c>
      <c r="AD170">
        <v>2.47108378281477</v>
      </c>
      <c r="AE170">
        <v>11.9623881128664</v>
      </c>
      <c r="AF170">
        <v>130.44702055431401</v>
      </c>
      <c r="AG170">
        <v>43.670159646099897</v>
      </c>
      <c r="AH170">
        <v>38.023977772113199</v>
      </c>
      <c r="AI170">
        <v>21.4464930563317</v>
      </c>
      <c r="AJ170">
        <v>30.659035552875999</v>
      </c>
      <c r="AK170">
        <v>26.4060620191818</v>
      </c>
      <c r="AL170" s="20">
        <v>73.711207905129299</v>
      </c>
      <c r="AM170" s="20">
        <v>46.621561025714698</v>
      </c>
      <c r="AN170" s="20" t="s">
        <v>58</v>
      </c>
    </row>
    <row r="171" spans="1:40" x14ac:dyDescent="0.25">
      <c r="A171" s="20">
        <v>169</v>
      </c>
      <c r="B171" s="20" t="s">
        <v>236</v>
      </c>
      <c r="C171" s="20" t="s">
        <v>61</v>
      </c>
      <c r="D171">
        <v>1</v>
      </c>
      <c r="E171" s="20" t="str">
        <f t="shared" si="2"/>
        <v>HAYE</v>
      </c>
      <c r="F171" s="20">
        <v>-22.25</v>
      </c>
      <c r="G171" s="20">
        <v>-69.89</v>
      </c>
      <c r="H171" s="20">
        <v>40</v>
      </c>
      <c r="I171" s="20">
        <v>7.68</v>
      </c>
      <c r="J171" s="20">
        <v>358</v>
      </c>
      <c r="K171" s="20">
        <v>23</v>
      </c>
      <c r="L171" s="20">
        <v>92.471717712693206</v>
      </c>
      <c r="M171" s="20">
        <v>10.93</v>
      </c>
      <c r="N171" s="20">
        <v>20</v>
      </c>
      <c r="O171" s="20">
        <v>14</v>
      </c>
      <c r="P171" s="20">
        <v>10</v>
      </c>
      <c r="Q171" s="20">
        <v>8.75</v>
      </c>
      <c r="R171" s="25">
        <v>200</v>
      </c>
      <c r="S171" s="25">
        <v>122.5</v>
      </c>
      <c r="T171" s="25">
        <v>44.780571428571399</v>
      </c>
      <c r="U171" s="25">
        <v>150</v>
      </c>
      <c r="V171" s="25">
        <v>105</v>
      </c>
      <c r="W171" s="25">
        <v>69.658666666666704</v>
      </c>
      <c r="X171" s="25">
        <v>83.186477302924402</v>
      </c>
      <c r="Y171" s="20" t="s">
        <v>102</v>
      </c>
      <c r="Z171" s="25">
        <v>2450</v>
      </c>
      <c r="AA171" s="25">
        <v>700</v>
      </c>
      <c r="AB171" s="25">
        <v>3150</v>
      </c>
      <c r="AC171" s="25">
        <v>14.0451281589026</v>
      </c>
      <c r="AD171" s="25">
        <v>6.6438411329591602</v>
      </c>
      <c r="AE171" s="25">
        <v>6.6438411329591602</v>
      </c>
      <c r="AF171" s="25">
        <v>48.823493643801797</v>
      </c>
      <c r="AG171" s="25">
        <v>52.6855193791909</v>
      </c>
      <c r="AH171" s="25">
        <v>25.081872061291399</v>
      </c>
      <c r="AI171" s="25">
        <v>25.622164064840501</v>
      </c>
      <c r="AJ171" s="25">
        <v>18.635538062840901</v>
      </c>
      <c r="AK171" s="25">
        <v>17.1427233482529</v>
      </c>
      <c r="AL171" s="20">
        <v>10.7081058082184</v>
      </c>
      <c r="AM171" s="20">
        <v>11.144846718102499</v>
      </c>
      <c r="AN171" s="20" t="s">
        <v>58</v>
      </c>
    </row>
    <row r="172" spans="1:40" x14ac:dyDescent="0.25">
      <c r="A172" s="20">
        <v>170</v>
      </c>
      <c r="B172" s="20" t="s">
        <v>237</v>
      </c>
      <c r="C172" s="20" t="s">
        <v>61</v>
      </c>
      <c r="D172">
        <v>1</v>
      </c>
      <c r="E172" s="20" t="str">
        <f t="shared" si="2"/>
        <v>JIxx</v>
      </c>
      <c r="F172" s="20">
        <v>-22.2271</v>
      </c>
      <c r="G172" s="20">
        <v>-69.897199999999998</v>
      </c>
      <c r="H172" s="20">
        <v>36.959800000000001</v>
      </c>
      <c r="I172" s="20">
        <v>7.81</v>
      </c>
      <c r="J172" s="20">
        <v>355.07998999999899</v>
      </c>
      <c r="K172" s="20">
        <v>16.559999999999999</v>
      </c>
      <c r="L172" s="20">
        <v>95.7585604428143</v>
      </c>
      <c r="M172" s="20">
        <v>13.0182229501201</v>
      </c>
      <c r="N172" s="20">
        <v>25</v>
      </c>
      <c r="O172" s="20">
        <v>25</v>
      </c>
      <c r="P172" s="20">
        <v>15</v>
      </c>
      <c r="Q172" s="20">
        <v>8</v>
      </c>
      <c r="R172">
        <v>375</v>
      </c>
      <c r="S172">
        <v>200</v>
      </c>
      <c r="T172">
        <v>21.886822991999999</v>
      </c>
      <c r="U172">
        <v>255</v>
      </c>
      <c r="V172">
        <v>200</v>
      </c>
      <c r="W172">
        <v>32.186504399999997</v>
      </c>
      <c r="X172">
        <v>55.129483453882003</v>
      </c>
      <c r="Y172" s="20" t="s">
        <v>64</v>
      </c>
      <c r="Z172">
        <v>3360</v>
      </c>
      <c r="AA172">
        <v>720</v>
      </c>
      <c r="AB172">
        <v>4080</v>
      </c>
      <c r="AC172">
        <v>14.1509716980849</v>
      </c>
      <c r="AD172">
        <v>8.5</v>
      </c>
      <c r="AE172">
        <v>8.5</v>
      </c>
      <c r="AF172">
        <v>60.506383204889303</v>
      </c>
      <c r="AG172">
        <v>45.230365948359598</v>
      </c>
      <c r="AH172">
        <v>43.5028019130744</v>
      </c>
      <c r="AI172">
        <v>30.731662560299501</v>
      </c>
      <c r="AJ172">
        <v>27.3111647008717</v>
      </c>
      <c r="AK172">
        <v>15.310108191161699</v>
      </c>
      <c r="AL172" s="20">
        <v>1.6815165179087599</v>
      </c>
      <c r="AM172" s="20">
        <v>1.38073056748955</v>
      </c>
      <c r="AN172" s="20" t="s">
        <v>58</v>
      </c>
    </row>
    <row r="173" spans="1:40" x14ac:dyDescent="0.25">
      <c r="A173" s="20">
        <v>171</v>
      </c>
      <c r="B173" s="20" t="s">
        <v>238</v>
      </c>
      <c r="C173" s="20" t="s">
        <v>61</v>
      </c>
      <c r="D173">
        <v>0</v>
      </c>
      <c r="E173" s="20" t="str">
        <f t="shared" si="2"/>
        <v>MOTA</v>
      </c>
      <c r="F173" s="20">
        <v>-22.33</v>
      </c>
      <c r="G173" s="20">
        <v>-70.11</v>
      </c>
      <c r="H173" s="20">
        <v>47.860144507085799</v>
      </c>
      <c r="I173" s="20">
        <v>7.8</v>
      </c>
      <c r="J173" s="20">
        <v>358</v>
      </c>
      <c r="K173" s="20">
        <v>20</v>
      </c>
      <c r="L173" s="20">
        <v>6.1754414311390704</v>
      </c>
      <c r="M173" s="20">
        <v>-1.00000000000011E-3</v>
      </c>
      <c r="N173" s="20">
        <v>48</v>
      </c>
      <c r="O173" s="20">
        <v>28</v>
      </c>
      <c r="P173" s="20">
        <v>7.29</v>
      </c>
      <c r="Q173" s="20">
        <v>6.43</v>
      </c>
      <c r="R173">
        <v>349.92</v>
      </c>
      <c r="S173">
        <v>180.04</v>
      </c>
      <c r="T173">
        <v>26.533214285714301</v>
      </c>
      <c r="U173">
        <v>233.28</v>
      </c>
      <c r="V173">
        <v>102.88</v>
      </c>
      <c r="W173">
        <v>69.649687499999999</v>
      </c>
      <c r="X173">
        <v>72.628752793887301</v>
      </c>
      <c r="Y173" s="20" t="s">
        <v>110</v>
      </c>
      <c r="Z173">
        <v>5015.5928999999996</v>
      </c>
      <c r="AA173">
        <v>937.49400000000003</v>
      </c>
      <c r="AB173">
        <v>5953.0869000000002</v>
      </c>
      <c r="AC173">
        <v>52.520263955939797</v>
      </c>
      <c r="AD173">
        <v>2.21462944278694</v>
      </c>
      <c r="AE173">
        <v>42.419235071439701</v>
      </c>
      <c r="AF173">
        <v>349.91999057983702</v>
      </c>
      <c r="AG173">
        <v>119.270804354707</v>
      </c>
      <c r="AH173">
        <v>51.203001212112099</v>
      </c>
      <c r="AI173">
        <v>35.201970704536699</v>
      </c>
      <c r="AJ173">
        <v>18.835452551575401</v>
      </c>
      <c r="AK173">
        <v>16.327092347101601</v>
      </c>
      <c r="AL173" s="20">
        <v>63.6068998366678</v>
      </c>
      <c r="AM173" s="20">
        <v>25.246293737522599</v>
      </c>
      <c r="AN173" s="20" t="s">
        <v>58</v>
      </c>
    </row>
    <row r="174" spans="1:40" x14ac:dyDescent="0.25">
      <c r="A174" s="20">
        <v>172</v>
      </c>
      <c r="B174" s="20" t="s">
        <v>239</v>
      </c>
      <c r="C174" s="20" t="s">
        <v>61</v>
      </c>
      <c r="D174">
        <v>0</v>
      </c>
      <c r="E174" s="20" t="str">
        <f t="shared" si="2"/>
        <v>SLAD</v>
      </c>
      <c r="F174" s="20">
        <v>-22.197230000000001</v>
      </c>
      <c r="G174" s="20">
        <v>-69.852950000000007</v>
      </c>
      <c r="H174" s="20">
        <v>49.657980000000002</v>
      </c>
      <c r="I174" s="20">
        <v>7.7</v>
      </c>
      <c r="J174" s="20">
        <v>5</v>
      </c>
      <c r="K174" s="20">
        <v>20</v>
      </c>
      <c r="L174" s="20">
        <v>85.625256221314203</v>
      </c>
      <c r="M174" s="20">
        <v>17.337079355034501</v>
      </c>
      <c r="N174" s="20">
        <v>18</v>
      </c>
      <c r="O174" s="20">
        <v>14</v>
      </c>
      <c r="P174" s="20">
        <v>9</v>
      </c>
      <c r="Q174" s="20">
        <v>9</v>
      </c>
      <c r="R174">
        <v>162</v>
      </c>
      <c r="S174">
        <v>126</v>
      </c>
      <c r="T174">
        <v>87.952380952381006</v>
      </c>
      <c r="U174">
        <v>162</v>
      </c>
      <c r="V174">
        <v>99</v>
      </c>
      <c r="W174">
        <v>111.93939393939399</v>
      </c>
      <c r="X174">
        <v>83.703986807337699</v>
      </c>
      <c r="Y174" s="20" t="s">
        <v>64</v>
      </c>
      <c r="Z174">
        <v>5346</v>
      </c>
      <c r="AA174">
        <v>567</v>
      </c>
      <c r="AB174">
        <v>5913</v>
      </c>
      <c r="AC174">
        <v>89.322449585756402</v>
      </c>
      <c r="AD174">
        <v>6.3639610306789303</v>
      </c>
      <c r="AE174">
        <v>6.3639610306789303</v>
      </c>
      <c r="AF174">
        <v>131.037534136891</v>
      </c>
      <c r="AG174">
        <v>112.740848961705</v>
      </c>
      <c r="AH174">
        <v>30.667463869971701</v>
      </c>
      <c r="AI174">
        <v>29.1277060690349</v>
      </c>
      <c r="AJ174">
        <v>20.131759596644201</v>
      </c>
      <c r="AK174">
        <v>20.096288695565502</v>
      </c>
      <c r="AL174" s="20">
        <v>2.7086854099359798</v>
      </c>
      <c r="AM174" s="20">
        <v>71.866983545505803</v>
      </c>
      <c r="AN174" s="20" t="s">
        <v>58</v>
      </c>
    </row>
    <row r="175" spans="1:40" x14ac:dyDescent="0.25">
      <c r="A175" s="20">
        <v>173</v>
      </c>
      <c r="B175" s="20" t="s">
        <v>240</v>
      </c>
      <c r="C175" s="20" t="s">
        <v>61</v>
      </c>
      <c r="D175">
        <v>1</v>
      </c>
      <c r="E175" s="20" t="str">
        <f t="shared" si="2"/>
        <v>ZENG</v>
      </c>
      <c r="F175" s="20">
        <v>-22.2194</v>
      </c>
      <c r="G175" s="20">
        <v>-69.816900000000004</v>
      </c>
      <c r="H175" s="20">
        <v>39.43</v>
      </c>
      <c r="I175" s="20">
        <v>7.7</v>
      </c>
      <c r="J175" s="20">
        <v>355.07998999999899</v>
      </c>
      <c r="K175" s="20">
        <v>16.559999999999999</v>
      </c>
      <c r="L175" s="20">
        <v>92.367057652142904</v>
      </c>
      <c r="M175" s="20">
        <v>12.353103687650099</v>
      </c>
      <c r="N175" s="20">
        <v>20</v>
      </c>
      <c r="O175" s="20">
        <v>15</v>
      </c>
      <c r="P175" s="20">
        <v>10</v>
      </c>
      <c r="Q175" s="20">
        <v>10</v>
      </c>
      <c r="R175">
        <v>200</v>
      </c>
      <c r="S175">
        <v>150</v>
      </c>
      <c r="T175">
        <v>51.090467166666699</v>
      </c>
      <c r="U175">
        <v>180</v>
      </c>
      <c r="V175">
        <v>130</v>
      </c>
      <c r="W175">
        <v>65.500598931623898</v>
      </c>
      <c r="X175">
        <v>73.949652515387896</v>
      </c>
      <c r="Y175" s="20" t="s">
        <v>64</v>
      </c>
      <c r="Z175">
        <v>2100</v>
      </c>
      <c r="AA175">
        <v>400</v>
      </c>
      <c r="AB175">
        <v>2500</v>
      </c>
      <c r="AC175">
        <v>85.146931829631995</v>
      </c>
      <c r="AD175">
        <v>7.0710678118654799</v>
      </c>
      <c r="AE175">
        <v>7.0710678118654799</v>
      </c>
      <c r="AF175">
        <v>50.519121063363201</v>
      </c>
      <c r="AG175">
        <v>59.316110240002502</v>
      </c>
      <c r="AH175">
        <v>24.406211282781001</v>
      </c>
      <c r="AI175">
        <v>27.4257489645669</v>
      </c>
      <c r="AJ175">
        <v>18.722511498898399</v>
      </c>
      <c r="AK175">
        <v>19.6552819217953</v>
      </c>
      <c r="AL175" s="20">
        <v>4.03318538626728</v>
      </c>
      <c r="AM175" s="20">
        <v>8.2736605230091396</v>
      </c>
      <c r="AN175" s="20" t="s">
        <v>58</v>
      </c>
    </row>
    <row r="176" spans="1:40" x14ac:dyDescent="0.25">
      <c r="A176" s="20">
        <v>174</v>
      </c>
      <c r="B176" s="20" t="s">
        <v>241</v>
      </c>
      <c r="C176" s="20" t="s">
        <v>56</v>
      </c>
      <c r="D176">
        <v>1</v>
      </c>
      <c r="E176" s="20" t="str">
        <f t="shared" si="2"/>
        <v>BEJA</v>
      </c>
      <c r="F176" s="20">
        <v>-22.34</v>
      </c>
      <c r="G176" s="20">
        <v>-70.06</v>
      </c>
      <c r="H176" s="20">
        <v>51.8</v>
      </c>
      <c r="I176" s="20">
        <v>7.7</v>
      </c>
      <c r="J176" s="20">
        <v>6</v>
      </c>
      <c r="K176" s="20">
        <v>20</v>
      </c>
      <c r="L176" s="20">
        <v>33.019427552731102</v>
      </c>
      <c r="M176" s="20">
        <v>10.106</v>
      </c>
      <c r="N176" s="20">
        <v>19</v>
      </c>
      <c r="O176" s="20">
        <v>12</v>
      </c>
      <c r="P176" s="20">
        <v>14</v>
      </c>
      <c r="Q176" s="20">
        <v>14</v>
      </c>
      <c r="R176">
        <v>266</v>
      </c>
      <c r="S176">
        <v>168</v>
      </c>
      <c r="T176">
        <v>23.425438596491201</v>
      </c>
      <c r="U176">
        <v>210</v>
      </c>
      <c r="V176">
        <v>98</v>
      </c>
      <c r="W176">
        <v>50.866666666666703</v>
      </c>
      <c r="X176">
        <v>57.508211670666299</v>
      </c>
      <c r="Y176" s="20" t="s">
        <v>110</v>
      </c>
      <c r="Z176" s="28">
        <v>4312</v>
      </c>
      <c r="AA176">
        <v>1372</v>
      </c>
      <c r="AB176">
        <v>5684</v>
      </c>
      <c r="AC176">
        <v>55.370981685713303</v>
      </c>
      <c r="AD176">
        <v>2.47108378281477</v>
      </c>
      <c r="AE176">
        <v>2.47108378281477</v>
      </c>
      <c r="AF176">
        <v>117.270139916948</v>
      </c>
      <c r="AG176">
        <v>100.433275572978</v>
      </c>
      <c r="AH176">
        <v>35.140075221220499</v>
      </c>
      <c r="AI176">
        <v>33.2200870675833</v>
      </c>
      <c r="AJ176">
        <v>29.405368336289602</v>
      </c>
      <c r="AK176">
        <v>29.936956853539499</v>
      </c>
      <c r="AL176" s="20">
        <v>73.859676573617605</v>
      </c>
      <c r="AM176" s="20">
        <v>44.975523758587997</v>
      </c>
      <c r="AN176" s="20" t="s">
        <v>58</v>
      </c>
    </row>
    <row r="177" spans="1:40" x14ac:dyDescent="0.25">
      <c r="A177" s="20">
        <v>175</v>
      </c>
      <c r="B177" s="20" t="s">
        <v>242</v>
      </c>
      <c r="C177" s="20" t="s">
        <v>56</v>
      </c>
      <c r="D177">
        <v>0</v>
      </c>
      <c r="E177" s="20" t="str">
        <f t="shared" si="2"/>
        <v>HAYE</v>
      </c>
      <c r="F177" s="20">
        <v>22</v>
      </c>
      <c r="G177" s="20">
        <v>142.65</v>
      </c>
      <c r="H177" s="20">
        <v>276.10000000000002</v>
      </c>
      <c r="I177" s="20">
        <v>7.46</v>
      </c>
      <c r="J177" s="20">
        <v>73.3</v>
      </c>
      <c r="K177" s="20">
        <v>48.54</v>
      </c>
      <c r="L177" s="20">
        <v>47.283659555228098</v>
      </c>
      <c r="M177" s="20">
        <v>250.8</v>
      </c>
      <c r="N177" s="20">
        <v>13</v>
      </c>
      <c r="O177" s="20">
        <v>15</v>
      </c>
      <c r="P177" s="20">
        <v>5</v>
      </c>
      <c r="Q177" s="20">
        <v>4.5</v>
      </c>
      <c r="R177" s="25">
        <v>65</v>
      </c>
      <c r="S177" s="25">
        <v>67.5</v>
      </c>
      <c r="T177" s="25">
        <v>59.342256410256397</v>
      </c>
      <c r="U177" s="25">
        <v>40</v>
      </c>
      <c r="V177" s="25">
        <v>45</v>
      </c>
      <c r="W177" s="25">
        <v>144.64675</v>
      </c>
      <c r="X177" s="25">
        <v>152.90507514981701</v>
      </c>
      <c r="Y177" s="20" t="s">
        <v>102</v>
      </c>
      <c r="Z177" s="25">
        <v>360</v>
      </c>
      <c r="AA177" s="25">
        <v>337.5</v>
      </c>
      <c r="AB177" s="25">
        <v>697.5</v>
      </c>
      <c r="AC177" s="25">
        <v>3.3634060117684301</v>
      </c>
      <c r="AD177" s="25">
        <v>3.3634060117684301</v>
      </c>
      <c r="AE177" s="25">
        <v>3.3634060117684301</v>
      </c>
      <c r="AF177" s="25">
        <v>32.916259668045797</v>
      </c>
      <c r="AG177" s="25">
        <v>30.805605087624599</v>
      </c>
      <c r="AH177" s="25">
        <v>10.9864692185735</v>
      </c>
      <c r="AI177" s="25">
        <v>10.0773944864867</v>
      </c>
      <c r="AJ177" s="25">
        <v>9.9806211469788995</v>
      </c>
      <c r="AK177" s="25">
        <v>9.1762110256512504</v>
      </c>
      <c r="AL177" s="20">
        <v>2.4047335528078801</v>
      </c>
      <c r="AM177" s="20">
        <v>1.5556218467223999</v>
      </c>
      <c r="AN177" s="20" t="s">
        <v>58</v>
      </c>
    </row>
    <row r="178" spans="1:40" x14ac:dyDescent="0.25">
      <c r="A178" s="20">
        <v>176</v>
      </c>
      <c r="B178" s="20" t="s">
        <v>243</v>
      </c>
      <c r="C178" s="20" t="s">
        <v>80</v>
      </c>
      <c r="D178">
        <v>0</v>
      </c>
      <c r="E178" s="20" t="str">
        <f t="shared" si="2"/>
        <v>ELLI</v>
      </c>
      <c r="F178" s="20">
        <v>32.409999999999997</v>
      </c>
      <c r="G178" s="20">
        <v>81.349999999999994</v>
      </c>
      <c r="H178" s="20">
        <v>7.5</v>
      </c>
      <c r="I178" s="20">
        <v>6.4</v>
      </c>
      <c r="J178" s="20">
        <v>233</v>
      </c>
      <c r="K178" s="20">
        <v>50</v>
      </c>
      <c r="L178" s="20">
        <v>-67</v>
      </c>
      <c r="M178" s="20">
        <v>0</v>
      </c>
      <c r="N178" s="20">
        <v>20</v>
      </c>
      <c r="O178" s="20">
        <v>15</v>
      </c>
      <c r="P178" s="20">
        <v>1</v>
      </c>
      <c r="Q178" s="20">
        <v>1.3054072893322799</v>
      </c>
      <c r="R178">
        <v>20</v>
      </c>
      <c r="S178">
        <v>19.581109339984199</v>
      </c>
      <c r="T178">
        <v>37.293333333333301</v>
      </c>
      <c r="U178">
        <v>12</v>
      </c>
      <c r="V178">
        <v>16.9702947613196</v>
      </c>
      <c r="W178">
        <v>71.717948717948701</v>
      </c>
      <c r="X178">
        <v>59.997781532102998</v>
      </c>
      <c r="Y178" s="20" t="s">
        <v>110</v>
      </c>
      <c r="Z178" s="28">
        <v>53.521698862623403</v>
      </c>
      <c r="AA178">
        <v>37.856811390636103</v>
      </c>
      <c r="AB178">
        <v>91.378510253259506</v>
      </c>
      <c r="AC178">
        <v>2.1038113146763999</v>
      </c>
      <c r="AD178">
        <v>2.7989638136003401</v>
      </c>
      <c r="AE178">
        <v>0.65270364466613795</v>
      </c>
      <c r="AF178">
        <v>19.999996682441999</v>
      </c>
      <c r="AG178">
        <v>19.581109323494399</v>
      </c>
      <c r="AH178">
        <v>3.7721657052561501</v>
      </c>
      <c r="AI178">
        <v>6.4906317742058199</v>
      </c>
      <c r="AJ178">
        <v>2.2838025004813001</v>
      </c>
      <c r="AK178">
        <v>3.1821776269175701</v>
      </c>
      <c r="AL178" s="20">
        <v>0.39099621991603001</v>
      </c>
      <c r="AM178" s="20">
        <v>0.253436958841603</v>
      </c>
      <c r="AN178" s="20" t="s">
        <v>58</v>
      </c>
    </row>
    <row r="179" spans="1:40" x14ac:dyDescent="0.25">
      <c r="A179" s="20">
        <v>177</v>
      </c>
      <c r="B179" s="20" t="s">
        <v>244</v>
      </c>
      <c r="C179" s="20" t="s">
        <v>80</v>
      </c>
      <c r="D179">
        <v>0</v>
      </c>
      <c r="E179" s="20" t="str">
        <f t="shared" si="2"/>
        <v>ELLI</v>
      </c>
      <c r="F179" s="20">
        <v>32.450000000000003</v>
      </c>
      <c r="G179" s="20">
        <v>85.3</v>
      </c>
      <c r="H179" s="20">
        <v>4</v>
      </c>
      <c r="I179" s="20">
        <v>5.9</v>
      </c>
      <c r="J179" s="20">
        <v>205</v>
      </c>
      <c r="K179" s="20">
        <v>53</v>
      </c>
      <c r="L179" s="20">
        <v>-87</v>
      </c>
      <c r="M179" s="20">
        <v>0</v>
      </c>
      <c r="N179" s="20">
        <v>15</v>
      </c>
      <c r="O179" s="20">
        <v>8</v>
      </c>
      <c r="P179" s="20">
        <v>1</v>
      </c>
      <c r="Q179" s="20">
        <v>1.25213565815623</v>
      </c>
      <c r="R179">
        <v>15</v>
      </c>
      <c r="S179">
        <v>10.017085265249801</v>
      </c>
      <c r="T179">
        <v>19.991666666666699</v>
      </c>
      <c r="U179">
        <v>11</v>
      </c>
      <c r="V179">
        <v>8.7649496070935804</v>
      </c>
      <c r="W179">
        <v>31.1558441558442</v>
      </c>
      <c r="X179">
        <v>25.536015149631002</v>
      </c>
      <c r="Y179" s="20" t="s">
        <v>110</v>
      </c>
      <c r="Z179">
        <v>22.538441846812098</v>
      </c>
      <c r="AA179">
        <v>15.025627897874701</v>
      </c>
      <c r="AB179">
        <v>37.564069744686797</v>
      </c>
      <c r="AC179">
        <v>4.5122714189016699</v>
      </c>
      <c r="AD179">
        <v>1.34827434390273</v>
      </c>
      <c r="AE179">
        <v>0.5</v>
      </c>
      <c r="AF179">
        <v>14.555398332921801</v>
      </c>
      <c r="AG179">
        <v>10.0170634826938</v>
      </c>
      <c r="AH179">
        <v>3.35481060410233</v>
      </c>
      <c r="AI179">
        <v>3.5565079629459899</v>
      </c>
      <c r="AJ179">
        <v>2.2081415275498699</v>
      </c>
      <c r="AK179">
        <v>2.7858482172747698</v>
      </c>
      <c r="AL179" s="20">
        <v>0.55327408293446001</v>
      </c>
      <c r="AM179" s="20">
        <v>0.49622371960551498</v>
      </c>
      <c r="AN179" s="20" t="s">
        <v>58</v>
      </c>
    </row>
    <row r="180" spans="1:40" x14ac:dyDescent="0.25">
      <c r="A180" s="20">
        <v>178</v>
      </c>
      <c r="B180" s="20" t="s">
        <v>245</v>
      </c>
      <c r="C180" s="20" t="s">
        <v>61</v>
      </c>
      <c r="D180">
        <v>0</v>
      </c>
      <c r="E180" s="20" t="str">
        <f t="shared" si="2"/>
        <v>ASAN</v>
      </c>
      <c r="F180" s="20">
        <v>39.029800000000002</v>
      </c>
      <c r="G180" s="20">
        <v>140.88069999999999</v>
      </c>
      <c r="H180" s="20">
        <v>7.77</v>
      </c>
      <c r="I180" s="20">
        <v>6.89</v>
      </c>
      <c r="J180" s="20">
        <v>209</v>
      </c>
      <c r="K180" s="20">
        <v>51</v>
      </c>
      <c r="L180" s="20">
        <v>108.30671746749</v>
      </c>
      <c r="M180" s="20">
        <v>0.8</v>
      </c>
      <c r="N180" s="20">
        <v>19</v>
      </c>
      <c r="O180" s="20">
        <v>9</v>
      </c>
      <c r="P180" s="20">
        <v>2</v>
      </c>
      <c r="Q180" s="20">
        <v>2</v>
      </c>
      <c r="R180">
        <v>38</v>
      </c>
      <c r="S180">
        <v>18</v>
      </c>
      <c r="T180">
        <v>120.496842105263</v>
      </c>
      <c r="U180">
        <v>34</v>
      </c>
      <c r="V180">
        <v>18</v>
      </c>
      <c r="W180">
        <v>134.672941176471</v>
      </c>
      <c r="X180">
        <v>100.45223129289199</v>
      </c>
      <c r="Y180" s="20" t="s">
        <v>155</v>
      </c>
      <c r="Z180" s="28">
        <v>68</v>
      </c>
      <c r="AA180">
        <v>16</v>
      </c>
      <c r="AB180">
        <v>84</v>
      </c>
      <c r="AC180">
        <v>8.6023252670426302</v>
      </c>
      <c r="AD180">
        <v>1.4142135623731</v>
      </c>
      <c r="AE180">
        <v>5.8309518948452999</v>
      </c>
      <c r="AF180">
        <v>10.9963580407395</v>
      </c>
      <c r="AG180">
        <v>11.224786645106301</v>
      </c>
      <c r="AH180">
        <v>6.4066513087231103</v>
      </c>
      <c r="AI180">
        <v>6.5560554643129603</v>
      </c>
      <c r="AJ180">
        <v>3.7502673693355901</v>
      </c>
      <c r="AK180">
        <v>3.91299068502398</v>
      </c>
      <c r="AL180" s="20">
        <v>8.6957505633498897</v>
      </c>
      <c r="AM180" s="20">
        <v>8.7400480914008707</v>
      </c>
      <c r="AN180" s="20" t="s">
        <v>58</v>
      </c>
    </row>
    <row r="181" spans="1:40" x14ac:dyDescent="0.25">
      <c r="A181" s="20">
        <v>179</v>
      </c>
      <c r="B181" s="20" t="s">
        <v>246</v>
      </c>
      <c r="C181" s="20" t="s">
        <v>61</v>
      </c>
      <c r="D181">
        <v>0</v>
      </c>
      <c r="E181" s="20" t="str">
        <f t="shared" si="2"/>
        <v>CULT</v>
      </c>
      <c r="F181" s="20">
        <v>39.027000000000001</v>
      </c>
      <c r="G181" s="20">
        <v>140.87799999999999</v>
      </c>
      <c r="H181" s="20">
        <v>6.5</v>
      </c>
      <c r="I181" s="20">
        <v>7</v>
      </c>
      <c r="J181" s="20">
        <v>209</v>
      </c>
      <c r="K181" s="20">
        <v>40</v>
      </c>
      <c r="L181" s="20">
        <v>-99</v>
      </c>
      <c r="M181" s="20">
        <v>1.34</v>
      </c>
      <c r="N181" s="20">
        <v>27</v>
      </c>
      <c r="O181" s="20">
        <v>11</v>
      </c>
      <c r="P181" s="20">
        <v>1.58</v>
      </c>
      <c r="Q181" s="20">
        <v>1.58</v>
      </c>
      <c r="R181">
        <v>42.66</v>
      </c>
      <c r="S181">
        <v>17.38</v>
      </c>
      <c r="T181">
        <v>182.31313131313101</v>
      </c>
      <c r="U181">
        <v>42.66</v>
      </c>
      <c r="V181">
        <v>17.38</v>
      </c>
      <c r="W181">
        <v>182.31313131313101</v>
      </c>
      <c r="X181">
        <v>139.213644373275</v>
      </c>
      <c r="Y181" s="20" t="s">
        <v>76</v>
      </c>
      <c r="Z181">
        <v>177.24440000000001</v>
      </c>
      <c r="AA181">
        <v>57.417200000000001</v>
      </c>
      <c r="AB181">
        <v>234.66159999999999</v>
      </c>
      <c r="AC181">
        <v>25.793227793356898</v>
      </c>
      <c r="AD181">
        <v>4.0282254157382997</v>
      </c>
      <c r="AE181">
        <v>6.0164607536324901</v>
      </c>
      <c r="AF181">
        <v>36.234472262455597</v>
      </c>
      <c r="AG181">
        <v>7.1146630583477899</v>
      </c>
      <c r="AH181">
        <v>7.2050924492584896</v>
      </c>
      <c r="AI181">
        <v>3.8668047153495499</v>
      </c>
      <c r="AJ181">
        <v>3.8610556321252298</v>
      </c>
      <c r="AK181">
        <v>3.4452867021764702</v>
      </c>
      <c r="AL181" s="20">
        <v>11.3754525975893</v>
      </c>
      <c r="AM181" s="20">
        <v>11.986911787862599</v>
      </c>
      <c r="AN181" s="20" t="s">
        <v>58</v>
      </c>
    </row>
    <row r="182" spans="1:40" x14ac:dyDescent="0.25">
      <c r="A182" s="20">
        <v>180</v>
      </c>
      <c r="B182" s="20" t="s">
        <v>247</v>
      </c>
      <c r="C182" s="20" t="s">
        <v>61</v>
      </c>
      <c r="D182">
        <v>0</v>
      </c>
      <c r="E182" s="20" t="str">
        <f t="shared" si="2"/>
        <v>HAYE</v>
      </c>
      <c r="F182" s="20">
        <v>39.109499999999997</v>
      </c>
      <c r="G182" s="20">
        <v>140.67751000000001</v>
      </c>
      <c r="H182" s="20">
        <v>9.4917999999999996</v>
      </c>
      <c r="I182" s="20">
        <v>6.8</v>
      </c>
      <c r="J182" s="20">
        <v>205.24001000000101</v>
      </c>
      <c r="K182" s="20">
        <v>49.670000000000101</v>
      </c>
      <c r="L182" s="20">
        <v>102.845070788093</v>
      </c>
      <c r="M182" s="20">
        <v>-0.418529566829618</v>
      </c>
      <c r="N182" s="20">
        <v>14</v>
      </c>
      <c r="O182" s="20">
        <v>11</v>
      </c>
      <c r="P182" s="20">
        <v>3</v>
      </c>
      <c r="Q182" s="20">
        <v>2</v>
      </c>
      <c r="R182">
        <v>42</v>
      </c>
      <c r="S182">
        <v>22</v>
      </c>
      <c r="T182">
        <v>84.241120454545495</v>
      </c>
      <c r="U182">
        <v>36</v>
      </c>
      <c r="V182">
        <v>22</v>
      </c>
      <c r="W182">
        <v>98.281307196969706</v>
      </c>
      <c r="X182">
        <v>122.12243809006399</v>
      </c>
      <c r="Y182" s="20" t="s">
        <v>64</v>
      </c>
      <c r="Z182" s="28">
        <v>126</v>
      </c>
      <c r="AA182">
        <v>54</v>
      </c>
      <c r="AB182">
        <v>180</v>
      </c>
      <c r="AC182">
        <v>16.7705098312484</v>
      </c>
      <c r="AD182">
        <v>1.8027756377319899</v>
      </c>
      <c r="AE182">
        <v>7.1589105316381803</v>
      </c>
      <c r="AF182">
        <v>17.387632801334298</v>
      </c>
      <c r="AG182">
        <v>8.5244155094808498</v>
      </c>
      <c r="AH182">
        <v>6.4871677082780996</v>
      </c>
      <c r="AI182">
        <v>3.7349043258455699</v>
      </c>
      <c r="AJ182">
        <v>5.7197651865697097</v>
      </c>
      <c r="AK182">
        <v>3.8042054362351099</v>
      </c>
      <c r="AL182" s="20">
        <v>9.83217890907199</v>
      </c>
      <c r="AM182" s="20">
        <v>7.4312414925098498</v>
      </c>
      <c r="AN182" s="20" t="s">
        <v>58</v>
      </c>
    </row>
    <row r="183" spans="1:40" x14ac:dyDescent="0.25">
      <c r="A183" s="20">
        <v>181</v>
      </c>
      <c r="B183" s="20" t="s">
        <v>248</v>
      </c>
      <c r="C183" s="20" t="s">
        <v>61</v>
      </c>
      <c r="D183">
        <v>0</v>
      </c>
      <c r="E183" s="20" t="str">
        <f t="shared" si="2"/>
        <v>HAYE</v>
      </c>
      <c r="F183" s="20">
        <v>-29.893699999999999</v>
      </c>
      <c r="G183" s="20">
        <v>-177.78829999999999</v>
      </c>
      <c r="H183" s="20">
        <v>39.506700000000002</v>
      </c>
      <c r="I183" s="20">
        <v>7</v>
      </c>
      <c r="J183" s="20">
        <v>197.3</v>
      </c>
      <c r="K183" s="20">
        <v>29.560000000000102</v>
      </c>
      <c r="L183" s="20">
        <v>91.950790724691899</v>
      </c>
      <c r="M183" s="20">
        <v>23.473263189277699</v>
      </c>
      <c r="N183" s="20">
        <v>14</v>
      </c>
      <c r="O183" s="20">
        <v>14</v>
      </c>
      <c r="P183" s="20">
        <v>5</v>
      </c>
      <c r="Q183" s="20">
        <v>5</v>
      </c>
      <c r="R183">
        <v>70</v>
      </c>
      <c r="S183">
        <v>70</v>
      </c>
      <c r="T183">
        <v>13.773608979591801</v>
      </c>
      <c r="U183">
        <v>45</v>
      </c>
      <c r="V183">
        <v>50</v>
      </c>
      <c r="W183">
        <v>29.995859555555601</v>
      </c>
      <c r="X183">
        <v>32.762711352497298</v>
      </c>
      <c r="Y183" s="20" t="s">
        <v>64</v>
      </c>
      <c r="Z183">
        <v>425</v>
      </c>
      <c r="AA183">
        <v>300</v>
      </c>
      <c r="AB183">
        <v>725</v>
      </c>
      <c r="AC183">
        <v>23.717082451262801</v>
      </c>
      <c r="AD183">
        <v>3.53553390593274</v>
      </c>
      <c r="AE183">
        <v>3.53553390593274</v>
      </c>
      <c r="AF183">
        <v>34.168380724455503</v>
      </c>
      <c r="AG183">
        <v>38.190427292971499</v>
      </c>
      <c r="AH183">
        <v>11.244170072865099</v>
      </c>
      <c r="AI183">
        <v>11.9592577152931</v>
      </c>
      <c r="AJ183">
        <v>9.9999379691470196</v>
      </c>
      <c r="AK183">
        <v>10.2832398117827</v>
      </c>
      <c r="AL183" s="20">
        <v>15.308181750292899</v>
      </c>
      <c r="AM183" s="20">
        <v>13.055883603188301</v>
      </c>
      <c r="AN183" s="20" t="s">
        <v>58</v>
      </c>
    </row>
    <row r="184" spans="1:40" x14ac:dyDescent="0.25">
      <c r="A184" s="20">
        <v>182</v>
      </c>
      <c r="B184" s="20" t="s">
        <v>249</v>
      </c>
      <c r="C184" s="20" t="s">
        <v>61</v>
      </c>
      <c r="D184">
        <v>1</v>
      </c>
      <c r="E184" s="20" t="str">
        <f t="shared" si="2"/>
        <v>HAYE</v>
      </c>
      <c r="F184" s="20">
        <v>2.77</v>
      </c>
      <c r="G184" s="20">
        <v>95.96</v>
      </c>
      <c r="H184" s="20">
        <v>26</v>
      </c>
      <c r="I184" s="20">
        <v>7.39</v>
      </c>
      <c r="J184" s="20">
        <v>308</v>
      </c>
      <c r="K184" s="20">
        <v>12</v>
      </c>
      <c r="L184" s="20">
        <v>86.9723232864403</v>
      </c>
      <c r="M184" s="20">
        <v>17.420000000000002</v>
      </c>
      <c r="N184" s="20">
        <v>15</v>
      </c>
      <c r="O184" s="20">
        <v>17</v>
      </c>
      <c r="P184" s="20">
        <v>8</v>
      </c>
      <c r="Q184" s="20">
        <v>7.5</v>
      </c>
      <c r="R184" s="25">
        <v>120</v>
      </c>
      <c r="S184" s="25">
        <v>127.5</v>
      </c>
      <c r="T184" s="25">
        <v>15.408588235294101</v>
      </c>
      <c r="U184" s="25">
        <v>88</v>
      </c>
      <c r="V184" s="25">
        <v>75</v>
      </c>
      <c r="W184" s="25">
        <v>35.719909090909098</v>
      </c>
      <c r="X184" s="25">
        <v>42.4940883884708</v>
      </c>
      <c r="Y184" s="20" t="s">
        <v>102</v>
      </c>
      <c r="Z184" s="25">
        <v>1260</v>
      </c>
      <c r="AA184" s="25">
        <v>360</v>
      </c>
      <c r="AB184" s="25">
        <v>1620</v>
      </c>
      <c r="AC184" s="25">
        <v>33.000946956110198</v>
      </c>
      <c r="AD184" s="25">
        <v>5.4829280498653299</v>
      </c>
      <c r="AE184" s="25">
        <v>26.553013011709201</v>
      </c>
      <c r="AF184" s="25">
        <v>35.427733131885397</v>
      </c>
      <c r="AG184" s="25">
        <v>29.100863888809499</v>
      </c>
      <c r="AH184" s="25">
        <v>18.326022174039799</v>
      </c>
      <c r="AI184" s="25">
        <v>15.7753644269429</v>
      </c>
      <c r="AJ184" s="25">
        <v>14.460336320454701</v>
      </c>
      <c r="AK184" s="25">
        <v>13.7753765153972</v>
      </c>
      <c r="AL184" s="20">
        <v>32.947963981102099</v>
      </c>
      <c r="AM184" s="20">
        <v>26.612502304931802</v>
      </c>
      <c r="AN184" s="20" t="s">
        <v>58</v>
      </c>
    </row>
    <row r="185" spans="1:40" x14ac:dyDescent="0.25">
      <c r="A185" s="20">
        <v>183</v>
      </c>
      <c r="B185" s="20" t="s">
        <v>250</v>
      </c>
      <c r="C185" s="20" t="s">
        <v>61</v>
      </c>
      <c r="D185">
        <v>1</v>
      </c>
      <c r="E185" s="20" t="str">
        <f t="shared" si="2"/>
        <v>SLAD</v>
      </c>
      <c r="F185" s="20">
        <v>1.3001100000000001</v>
      </c>
      <c r="G185" s="20">
        <v>122.10299999999999</v>
      </c>
      <c r="H185" s="20">
        <v>25.500499999999999</v>
      </c>
      <c r="I185" s="20">
        <v>7.3</v>
      </c>
      <c r="J185" s="20">
        <v>93</v>
      </c>
      <c r="K185" s="20">
        <v>22</v>
      </c>
      <c r="L185" s="20">
        <v>88.136196908968998</v>
      </c>
      <c r="M185" s="20">
        <v>12.763886813168201</v>
      </c>
      <c r="N185" s="20">
        <v>15</v>
      </c>
      <c r="O185" s="20">
        <v>14</v>
      </c>
      <c r="P185" s="20">
        <v>8</v>
      </c>
      <c r="Q185" s="20">
        <v>4</v>
      </c>
      <c r="R185">
        <v>120</v>
      </c>
      <c r="S185">
        <v>56</v>
      </c>
      <c r="T185">
        <v>45.269840619047599</v>
      </c>
      <c r="U185">
        <v>104</v>
      </c>
      <c r="V185">
        <v>40</v>
      </c>
      <c r="W185">
        <v>73.128204076923097</v>
      </c>
      <c r="X185">
        <v>75.798804136126705</v>
      </c>
      <c r="Y185" s="20" t="s">
        <v>64</v>
      </c>
      <c r="Z185">
        <v>992</v>
      </c>
      <c r="AA185">
        <v>512</v>
      </c>
      <c r="AB185">
        <v>1504</v>
      </c>
      <c r="AC185">
        <v>12.1655250605964</v>
      </c>
      <c r="AD185">
        <v>4.4721359549995796</v>
      </c>
      <c r="AE185">
        <v>4.4721359549995796</v>
      </c>
      <c r="AF185">
        <v>80.0109634856247</v>
      </c>
      <c r="AG185">
        <v>44.722840703881097</v>
      </c>
      <c r="AH185">
        <v>23.141753677076199</v>
      </c>
      <c r="AI185">
        <v>12.2726167307413</v>
      </c>
      <c r="AJ185">
        <v>16.8032295787458</v>
      </c>
      <c r="AK185">
        <v>8.7956915926691792</v>
      </c>
      <c r="AL185" s="20">
        <v>10.6299695112451</v>
      </c>
      <c r="AM185" s="20">
        <v>9.8582041087613899</v>
      </c>
      <c r="AN185" s="20" t="s">
        <v>58</v>
      </c>
    </row>
    <row r="186" spans="1:40" x14ac:dyDescent="0.25">
      <c r="A186" s="20">
        <v>184</v>
      </c>
      <c r="B186" s="20" t="s">
        <v>251</v>
      </c>
      <c r="C186" s="20" t="s">
        <v>56</v>
      </c>
      <c r="D186">
        <v>0</v>
      </c>
      <c r="E186" s="20" t="str">
        <f t="shared" si="2"/>
        <v>JIxx</v>
      </c>
      <c r="F186" s="20">
        <v>31.102399999999999</v>
      </c>
      <c r="G186" s="20">
        <v>103.31659999999999</v>
      </c>
      <c r="H186" s="20">
        <v>9.4553999999999991</v>
      </c>
      <c r="I186" s="20">
        <v>7.9</v>
      </c>
      <c r="J186" s="20">
        <v>229</v>
      </c>
      <c r="K186" s="20">
        <v>33</v>
      </c>
      <c r="L186" s="20">
        <v>126.53998917539499</v>
      </c>
      <c r="M186" s="20">
        <v>-7.5797587537567601E-2</v>
      </c>
      <c r="N186" s="20">
        <v>21</v>
      </c>
      <c r="O186" s="20">
        <v>8</v>
      </c>
      <c r="P186" s="20">
        <v>15</v>
      </c>
      <c r="Q186" s="20">
        <v>5</v>
      </c>
      <c r="R186">
        <v>315</v>
      </c>
      <c r="S186">
        <v>40</v>
      </c>
      <c r="T186">
        <v>278.510389761905</v>
      </c>
      <c r="U186">
        <v>285</v>
      </c>
      <c r="V186">
        <v>40</v>
      </c>
      <c r="W186">
        <v>307.82727289473701</v>
      </c>
      <c r="X186">
        <v>250.079823741621</v>
      </c>
      <c r="Y186" s="20" t="s">
        <v>57</v>
      </c>
      <c r="Z186">
        <v>3750</v>
      </c>
      <c r="AA186">
        <v>1275</v>
      </c>
      <c r="AB186">
        <v>5025</v>
      </c>
      <c r="AC186">
        <v>157.519840020234</v>
      </c>
      <c r="AD186">
        <v>7.9056941504209499</v>
      </c>
      <c r="AE186">
        <v>22.638462845343501</v>
      </c>
      <c r="AF186">
        <v>124.783252617386</v>
      </c>
      <c r="AG186">
        <v>39.999999227692797</v>
      </c>
      <c r="AH186">
        <v>38.370045412585398</v>
      </c>
      <c r="AI186">
        <v>13.909513193181301</v>
      </c>
      <c r="AJ186">
        <v>30.515840658851602</v>
      </c>
      <c r="AK186">
        <v>10.4716423219608</v>
      </c>
      <c r="AL186" s="20">
        <v>45.231426823835697</v>
      </c>
      <c r="AM186" s="20">
        <v>101.68580901566401</v>
      </c>
      <c r="AN186" s="20" t="s">
        <v>58</v>
      </c>
    </row>
    <row r="187" spans="1:40" x14ac:dyDescent="0.25">
      <c r="A187" s="20">
        <v>185</v>
      </c>
      <c r="B187" s="20" t="s">
        <v>252</v>
      </c>
      <c r="C187" s="20" t="s">
        <v>56</v>
      </c>
      <c r="D187">
        <v>0</v>
      </c>
      <c r="E187" s="20" t="str">
        <f t="shared" si="2"/>
        <v>SLAD</v>
      </c>
      <c r="F187" s="20">
        <v>30.992519999999999</v>
      </c>
      <c r="G187" s="20">
        <v>103.45786</v>
      </c>
      <c r="H187" s="20">
        <v>9.2738099999999992</v>
      </c>
      <c r="I187" s="20">
        <v>7.9</v>
      </c>
      <c r="J187" s="20">
        <v>228</v>
      </c>
      <c r="K187" s="20">
        <v>33</v>
      </c>
      <c r="L187" s="20">
        <v>136.682829031616</v>
      </c>
      <c r="M187" s="20">
        <v>3.8274219299699501</v>
      </c>
      <c r="N187" s="20">
        <v>26</v>
      </c>
      <c r="O187" s="20">
        <v>7</v>
      </c>
      <c r="P187" s="20">
        <v>10</v>
      </c>
      <c r="Q187" s="20">
        <v>4</v>
      </c>
      <c r="R187">
        <v>260</v>
      </c>
      <c r="S187">
        <v>28</v>
      </c>
      <c r="T187">
        <v>376.124549505495</v>
      </c>
      <c r="U187">
        <v>220</v>
      </c>
      <c r="V187">
        <v>28</v>
      </c>
      <c r="W187">
        <v>444.510831233766</v>
      </c>
      <c r="X187">
        <v>372.97982267181999</v>
      </c>
      <c r="Y187" s="20" t="s">
        <v>64</v>
      </c>
      <c r="Z187">
        <v>1280</v>
      </c>
      <c r="AA187">
        <v>1000</v>
      </c>
      <c r="AB187">
        <v>2280</v>
      </c>
      <c r="AC187">
        <v>0</v>
      </c>
      <c r="AD187">
        <v>26.925824035672498</v>
      </c>
      <c r="AE187">
        <v>36.4005494464026</v>
      </c>
      <c r="AF187">
        <v>53.336077476210498</v>
      </c>
      <c r="AG187">
        <v>15.503268322314099</v>
      </c>
      <c r="AH187">
        <v>31.055251513482499</v>
      </c>
      <c r="AI187">
        <v>9.9383797415581903</v>
      </c>
      <c r="AJ187">
        <v>19.070160225227799</v>
      </c>
      <c r="AK187">
        <v>7.2389838032515197</v>
      </c>
      <c r="AL187" s="20">
        <v>67.9319914759607</v>
      </c>
      <c r="AM187" s="20">
        <v>72.386517755311303</v>
      </c>
      <c r="AN187" s="20" t="s">
        <v>58</v>
      </c>
    </row>
    <row r="188" spans="1:40" x14ac:dyDescent="0.25">
      <c r="A188" s="20">
        <v>186</v>
      </c>
      <c r="B188" s="20" t="s">
        <v>253</v>
      </c>
      <c r="C188" s="20" t="s">
        <v>56</v>
      </c>
      <c r="D188">
        <v>0</v>
      </c>
      <c r="E188" s="20" t="str">
        <f t="shared" si="2"/>
        <v>YAGI</v>
      </c>
      <c r="F188" s="20">
        <v>30.986000000000001</v>
      </c>
      <c r="G188" s="20">
        <v>103.364</v>
      </c>
      <c r="H188" s="20">
        <v>16</v>
      </c>
      <c r="I188" s="20">
        <v>8.0299999999999994</v>
      </c>
      <c r="J188" s="20">
        <v>231</v>
      </c>
      <c r="K188" s="20">
        <v>32</v>
      </c>
      <c r="L188" s="20">
        <v>149.53882645463301</v>
      </c>
      <c r="M188" s="20">
        <v>0.1</v>
      </c>
      <c r="N188" s="20">
        <v>32</v>
      </c>
      <c r="O188" s="20">
        <v>8</v>
      </c>
      <c r="P188" s="20">
        <v>10</v>
      </c>
      <c r="Q188" s="20">
        <v>7.5</v>
      </c>
      <c r="R188">
        <v>320</v>
      </c>
      <c r="S188">
        <v>60</v>
      </c>
      <c r="T188">
        <v>321.33906250000001</v>
      </c>
      <c r="U188">
        <v>310</v>
      </c>
      <c r="V188">
        <v>60</v>
      </c>
      <c r="W188">
        <v>331.70483870967701</v>
      </c>
      <c r="X188">
        <v>204.878025242354</v>
      </c>
      <c r="Y188" s="20" t="s">
        <v>76</v>
      </c>
      <c r="Z188">
        <v>7425</v>
      </c>
      <c r="AA188">
        <v>3300</v>
      </c>
      <c r="AB188">
        <v>10725</v>
      </c>
      <c r="AC188">
        <v>312.12978070027202</v>
      </c>
      <c r="AD188">
        <v>5</v>
      </c>
      <c r="AE188">
        <v>5</v>
      </c>
      <c r="AF188">
        <v>285.48298252720099</v>
      </c>
      <c r="AG188">
        <v>37.387482857734902</v>
      </c>
      <c r="AH188">
        <v>52.727643427843901</v>
      </c>
      <c r="AI188">
        <v>20.444815478963498</v>
      </c>
      <c r="AJ188">
        <v>23.648957165981699</v>
      </c>
      <c r="AK188">
        <v>16.167027990616901</v>
      </c>
      <c r="AL188" s="20">
        <v>12.935467005098801</v>
      </c>
      <c r="AM188" s="20">
        <v>109.701783049228</v>
      </c>
      <c r="AN188" s="20" t="s">
        <v>58</v>
      </c>
    </row>
    <row r="189" spans="1:40" x14ac:dyDescent="0.25">
      <c r="A189" s="20">
        <v>187</v>
      </c>
      <c r="B189" s="20" t="s">
        <v>254</v>
      </c>
      <c r="C189" s="20" t="s">
        <v>80</v>
      </c>
      <c r="D189">
        <v>0</v>
      </c>
      <c r="E189" s="20" t="str">
        <f t="shared" si="2"/>
        <v>ELLI</v>
      </c>
      <c r="F189" s="20">
        <v>35.482437678035403</v>
      </c>
      <c r="G189" s="20">
        <v>81.5146118962721</v>
      </c>
      <c r="H189" s="20">
        <v>4.1045701563285499</v>
      </c>
      <c r="I189" s="20">
        <v>7.1</v>
      </c>
      <c r="J189" s="20">
        <v>187</v>
      </c>
      <c r="K189" s="20">
        <v>51.6666666666667</v>
      </c>
      <c r="L189" s="20">
        <v>-77.651085653407705</v>
      </c>
      <c r="M189" s="20">
        <v>0</v>
      </c>
      <c r="N189" s="20">
        <v>54</v>
      </c>
      <c r="O189" s="20">
        <v>15</v>
      </c>
      <c r="P189" s="20">
        <v>1</v>
      </c>
      <c r="Q189" s="20">
        <v>1.2748343062507901</v>
      </c>
      <c r="R189">
        <v>53.499659999999999</v>
      </c>
      <c r="S189">
        <v>21.994187784594398</v>
      </c>
      <c r="T189">
        <v>150.303703703704</v>
      </c>
      <c r="U189">
        <v>36</v>
      </c>
      <c r="V189">
        <v>16.572845981260301</v>
      </c>
      <c r="W189">
        <v>260.14102564102598</v>
      </c>
      <c r="X189">
        <v>157.61089494892099</v>
      </c>
      <c r="Y189" s="20" t="s">
        <v>110</v>
      </c>
      <c r="Z189">
        <v>175.927134262609</v>
      </c>
      <c r="AA189">
        <v>217.996666368885</v>
      </c>
      <c r="AB189">
        <v>393.92380063149398</v>
      </c>
      <c r="AC189">
        <v>9.7946793193775008</v>
      </c>
      <c r="AD189">
        <v>4.4658378851279501</v>
      </c>
      <c r="AE189">
        <v>6.67058906690015</v>
      </c>
      <c r="AF189">
        <v>43.673495651013603</v>
      </c>
      <c r="AG189">
        <v>16.360372814970699</v>
      </c>
      <c r="AH189">
        <v>8.78624152015073</v>
      </c>
      <c r="AI189">
        <v>6.8224437071935302</v>
      </c>
      <c r="AJ189">
        <v>2.5081154403345902</v>
      </c>
      <c r="AK189">
        <v>3.0111135914177001</v>
      </c>
      <c r="AL189" s="20">
        <v>20.081966547926001</v>
      </c>
      <c r="AM189" s="20">
        <v>21.2088414758691</v>
      </c>
      <c r="AN189" s="20" t="s">
        <v>58</v>
      </c>
    </row>
    <row r="190" spans="1:40" x14ac:dyDescent="0.25">
      <c r="A190" s="20">
        <v>188</v>
      </c>
      <c r="B190" s="20" t="s">
        <v>255</v>
      </c>
      <c r="C190" s="20" t="s">
        <v>56</v>
      </c>
      <c r="D190">
        <v>0</v>
      </c>
      <c r="E190" s="20" t="str">
        <f t="shared" si="2"/>
        <v>ELLI</v>
      </c>
      <c r="F190" s="20">
        <v>30.774729833384299</v>
      </c>
      <c r="G190" s="20">
        <v>83.482507737370995</v>
      </c>
      <c r="H190" s="20">
        <v>7.6263282571911999</v>
      </c>
      <c r="I190" s="20">
        <v>6.7</v>
      </c>
      <c r="J190" s="20">
        <v>40</v>
      </c>
      <c r="K190" s="20">
        <v>41</v>
      </c>
      <c r="L190" s="20">
        <v>-53</v>
      </c>
      <c r="M190" s="20">
        <v>0</v>
      </c>
      <c r="N190" s="20">
        <v>31</v>
      </c>
      <c r="O190" s="20">
        <v>20</v>
      </c>
      <c r="P190" s="20">
        <v>1</v>
      </c>
      <c r="Q190" s="20">
        <v>1.5242530867058099</v>
      </c>
      <c r="R190">
        <v>31</v>
      </c>
      <c r="S190">
        <v>30.4850617341163</v>
      </c>
      <c r="T190">
        <v>23.830645161290299</v>
      </c>
      <c r="U190">
        <v>19</v>
      </c>
      <c r="V190">
        <v>21.339543213881399</v>
      </c>
      <c r="W190">
        <v>55.545112781954899</v>
      </c>
      <c r="X190">
        <v>45.840986400606603</v>
      </c>
      <c r="Y190" s="20" t="s">
        <v>110</v>
      </c>
      <c r="Z190">
        <v>128.03725928328799</v>
      </c>
      <c r="AA190">
        <v>54.873111121409302</v>
      </c>
      <c r="AB190">
        <v>182.910370404698</v>
      </c>
      <c r="AC190">
        <v>8.1904631620138009</v>
      </c>
      <c r="AD190">
        <v>2</v>
      </c>
      <c r="AE190">
        <v>0</v>
      </c>
      <c r="AF190">
        <v>30.084640554542101</v>
      </c>
      <c r="AG190">
        <v>30.4850617082406</v>
      </c>
      <c r="AH190">
        <v>4.5535437769401099</v>
      </c>
      <c r="AI190">
        <v>8.7285673322156008</v>
      </c>
      <c r="AJ190">
        <v>2.4109291852335399</v>
      </c>
      <c r="AK190">
        <v>3.8235526050125399</v>
      </c>
      <c r="AL190" s="20">
        <v>1.5715794188061301</v>
      </c>
      <c r="AM190" s="20">
        <v>0.57140080934978599</v>
      </c>
      <c r="AN190" s="20" t="s">
        <v>58</v>
      </c>
    </row>
    <row r="191" spans="1:40" x14ac:dyDescent="0.25">
      <c r="A191" s="20">
        <v>189</v>
      </c>
      <c r="B191" s="20" t="s">
        <v>256</v>
      </c>
      <c r="C191" s="20" t="s">
        <v>56</v>
      </c>
      <c r="D191">
        <v>1</v>
      </c>
      <c r="E191" s="20" t="str">
        <f t="shared" si="2"/>
        <v>HAYE</v>
      </c>
      <c r="F191" s="20">
        <v>-45.76</v>
      </c>
      <c r="G191" s="20">
        <v>166.56</v>
      </c>
      <c r="H191" s="20">
        <v>12</v>
      </c>
      <c r="I191" s="20">
        <v>7.82</v>
      </c>
      <c r="J191" s="20">
        <v>29</v>
      </c>
      <c r="K191" s="20">
        <v>26</v>
      </c>
      <c r="L191" s="20">
        <v>145.258515161985</v>
      </c>
      <c r="M191" s="20">
        <v>4.32</v>
      </c>
      <c r="N191" s="20">
        <v>20</v>
      </c>
      <c r="O191" s="20">
        <v>11</v>
      </c>
      <c r="P191" s="20">
        <v>6</v>
      </c>
      <c r="Q191" s="20">
        <v>5</v>
      </c>
      <c r="R191" s="25">
        <v>120</v>
      </c>
      <c r="S191" s="25">
        <v>55</v>
      </c>
      <c r="T191" s="25">
        <v>256.185090909091</v>
      </c>
      <c r="U191" s="25">
        <v>90</v>
      </c>
      <c r="V191" s="25">
        <v>55</v>
      </c>
      <c r="W191" s="25">
        <v>341.58012121212101</v>
      </c>
      <c r="X191" s="25">
        <v>328.39243777685499</v>
      </c>
      <c r="Y191" s="20" t="s">
        <v>102</v>
      </c>
      <c r="Z191" s="25">
        <v>930</v>
      </c>
      <c r="AA191" s="25">
        <v>540</v>
      </c>
      <c r="AB191" s="25">
        <v>1470</v>
      </c>
      <c r="AC191" s="25">
        <v>59.625917183721398</v>
      </c>
      <c r="AD191" s="25">
        <v>3.9051248379533301</v>
      </c>
      <c r="AE191" s="25">
        <v>27.115493725912501</v>
      </c>
      <c r="AF191" s="25">
        <v>57.390644272103899</v>
      </c>
      <c r="AG191" s="25">
        <v>30.436698604720402</v>
      </c>
      <c r="AH191" s="25">
        <v>17.174640380698001</v>
      </c>
      <c r="AI191" s="25">
        <v>11.4070255083025</v>
      </c>
      <c r="AJ191" s="25">
        <v>12.611564135686899</v>
      </c>
      <c r="AK191" s="25">
        <v>9.9877407457451106</v>
      </c>
      <c r="AL191" s="20">
        <v>36.587569511515802</v>
      </c>
      <c r="AM191" s="20">
        <v>28.776747989479301</v>
      </c>
      <c r="AN191" s="20" t="s">
        <v>58</v>
      </c>
    </row>
    <row r="192" spans="1:40" x14ac:dyDescent="0.25">
      <c r="A192" s="20">
        <v>190</v>
      </c>
      <c r="B192" s="20" t="s">
        <v>257</v>
      </c>
      <c r="C192" s="20" t="s">
        <v>63</v>
      </c>
      <c r="D192">
        <v>0</v>
      </c>
      <c r="E192" s="20" t="str">
        <f t="shared" si="2"/>
        <v>HAYE</v>
      </c>
      <c r="F192" s="20">
        <v>29.409400000000002</v>
      </c>
      <c r="G192" s="20">
        <v>-112.8066</v>
      </c>
      <c r="H192" s="20">
        <v>9.1633999999999993</v>
      </c>
      <c r="I192" s="20">
        <v>6.9</v>
      </c>
      <c r="J192" s="20">
        <v>137.84</v>
      </c>
      <c r="K192" s="20">
        <v>74.870000000000104</v>
      </c>
      <c r="L192" s="20">
        <v>171.80126610392199</v>
      </c>
      <c r="M192" s="20">
        <v>0.37886307169156502</v>
      </c>
      <c r="N192" s="20">
        <v>18</v>
      </c>
      <c r="O192" s="20">
        <v>8</v>
      </c>
      <c r="P192" s="20">
        <v>6</v>
      </c>
      <c r="Q192" s="20">
        <v>2.6</v>
      </c>
      <c r="R192">
        <v>108</v>
      </c>
      <c r="S192">
        <v>20.8</v>
      </c>
      <c r="T192">
        <v>31.104855347222198</v>
      </c>
      <c r="U192">
        <v>60</v>
      </c>
      <c r="V192">
        <v>18.2</v>
      </c>
      <c r="W192">
        <v>63.987130999999998</v>
      </c>
      <c r="X192">
        <v>71.129284548062898</v>
      </c>
      <c r="Y192" s="20" t="s">
        <v>57</v>
      </c>
      <c r="Z192">
        <v>187.2</v>
      </c>
      <c r="AA192">
        <v>109.2</v>
      </c>
      <c r="AB192">
        <v>296.39999999999998</v>
      </c>
      <c r="AC192">
        <v>33.025596133908003</v>
      </c>
      <c r="AD192">
        <v>4.9203658400570198</v>
      </c>
      <c r="AE192">
        <v>9.8086696345630902</v>
      </c>
      <c r="AF192">
        <v>34.759967426910102</v>
      </c>
      <c r="AG192">
        <v>7.1904986958987998</v>
      </c>
      <c r="AH192">
        <v>11.537453210745801</v>
      </c>
      <c r="AI192">
        <v>3.64945095413665</v>
      </c>
      <c r="AJ192">
        <v>11.699442921040401</v>
      </c>
      <c r="AK192">
        <v>4.6953017662314203</v>
      </c>
      <c r="AL192" s="20">
        <v>21.3466119431164</v>
      </c>
      <c r="AM192" s="20">
        <v>18.047389064349399</v>
      </c>
      <c r="AN192" s="20" t="s">
        <v>58</v>
      </c>
    </row>
    <row r="193" spans="1:40" x14ac:dyDescent="0.25">
      <c r="A193" s="20">
        <v>191</v>
      </c>
      <c r="B193" s="20" t="s">
        <v>258</v>
      </c>
      <c r="C193" s="20" t="s">
        <v>80</v>
      </c>
      <c r="D193">
        <v>0</v>
      </c>
      <c r="E193" s="20" t="str">
        <f t="shared" si="2"/>
        <v>CIRE</v>
      </c>
      <c r="F193" s="20">
        <v>42.35</v>
      </c>
      <c r="G193" s="20">
        <v>13.38</v>
      </c>
      <c r="H193" s="20">
        <v>9.5</v>
      </c>
      <c r="I193" s="20">
        <v>6.3</v>
      </c>
      <c r="J193" s="20">
        <v>133</v>
      </c>
      <c r="K193" s="20">
        <v>54</v>
      </c>
      <c r="L193" s="20">
        <v>-99</v>
      </c>
      <c r="M193" s="20">
        <v>1.82</v>
      </c>
      <c r="N193" s="20">
        <v>15</v>
      </c>
      <c r="O193" s="20">
        <v>9</v>
      </c>
      <c r="P193" s="20">
        <v>1.75</v>
      </c>
      <c r="Q193" s="20">
        <v>1.75</v>
      </c>
      <c r="R193">
        <v>26.25</v>
      </c>
      <c r="S193">
        <v>15.75</v>
      </c>
      <c r="T193">
        <v>32.081481481481497</v>
      </c>
      <c r="U193">
        <v>22.75</v>
      </c>
      <c r="V193">
        <v>15.75</v>
      </c>
      <c r="W193">
        <v>37.017094017094003</v>
      </c>
      <c r="X193">
        <v>34.318658500494202</v>
      </c>
      <c r="Y193" s="20" t="s">
        <v>76</v>
      </c>
      <c r="Z193">
        <v>88.8125</v>
      </c>
      <c r="AA193">
        <v>36.75</v>
      </c>
      <c r="AB193">
        <v>125.5625</v>
      </c>
      <c r="AC193">
        <v>8.6620580695352096</v>
      </c>
      <c r="AD193">
        <v>1.2374368670764599</v>
      </c>
      <c r="AE193">
        <v>6.1871843353822902</v>
      </c>
      <c r="AF193">
        <v>10.8486898700206</v>
      </c>
      <c r="AG193">
        <v>10.9258604506611</v>
      </c>
      <c r="AH193">
        <v>3.6993605905546101</v>
      </c>
      <c r="AI193">
        <v>3.6841726337688998</v>
      </c>
      <c r="AJ193">
        <v>3.59751438268562</v>
      </c>
      <c r="AK193">
        <v>3.4847612891908999</v>
      </c>
      <c r="AL193" s="20">
        <v>8.4329787145468398</v>
      </c>
      <c r="AM193" s="20">
        <v>6.2712371993092404</v>
      </c>
      <c r="AN193" s="20" t="s">
        <v>58</v>
      </c>
    </row>
    <row r="194" spans="1:40" x14ac:dyDescent="0.25">
      <c r="A194" s="20">
        <v>192</v>
      </c>
      <c r="B194" s="20" t="s">
        <v>259</v>
      </c>
      <c r="C194" s="20" t="s">
        <v>80</v>
      </c>
      <c r="D194">
        <v>0</v>
      </c>
      <c r="E194" s="20" t="str">
        <f t="shared" si="2"/>
        <v>GALL</v>
      </c>
      <c r="F194" s="20">
        <v>42.338999999999999</v>
      </c>
      <c r="G194" s="20">
        <v>13.381</v>
      </c>
      <c r="H194" s="20">
        <v>8.8000000000000007</v>
      </c>
      <c r="I194" s="20">
        <v>6.18</v>
      </c>
      <c r="J194" s="20">
        <v>140</v>
      </c>
      <c r="K194" s="20">
        <v>50</v>
      </c>
      <c r="L194" s="20">
        <v>-90</v>
      </c>
      <c r="M194" s="20">
        <v>0.37351112569099998</v>
      </c>
      <c r="N194" s="20">
        <v>20</v>
      </c>
      <c r="O194" s="20">
        <v>15</v>
      </c>
      <c r="P194" s="20">
        <v>1</v>
      </c>
      <c r="Q194" s="20">
        <v>1</v>
      </c>
      <c r="R194">
        <v>20</v>
      </c>
      <c r="S194">
        <v>15</v>
      </c>
      <c r="T194">
        <v>36.236433333333302</v>
      </c>
      <c r="U194">
        <v>20</v>
      </c>
      <c r="V194">
        <v>15</v>
      </c>
      <c r="W194">
        <v>36.236433333333302</v>
      </c>
      <c r="X194">
        <v>16.030328726380102</v>
      </c>
      <c r="Y194" s="20" t="s">
        <v>76</v>
      </c>
      <c r="Z194">
        <v>128</v>
      </c>
      <c r="AA194">
        <v>100</v>
      </c>
      <c r="AB194">
        <v>228</v>
      </c>
      <c r="AC194">
        <v>1.4142135623731</v>
      </c>
      <c r="AD194">
        <v>0</v>
      </c>
      <c r="AE194">
        <v>3</v>
      </c>
      <c r="AF194">
        <v>19.9999965047482</v>
      </c>
      <c r="AG194">
        <v>13.816687189740099</v>
      </c>
      <c r="AH194">
        <v>4.7055097618257404</v>
      </c>
      <c r="AI194">
        <v>3.7830410137029502</v>
      </c>
      <c r="AJ194">
        <v>2.32413740629217</v>
      </c>
      <c r="AK194">
        <v>2.2876966421148199</v>
      </c>
      <c r="AL194" s="20">
        <v>7.2598819639164898</v>
      </c>
      <c r="AM194" s="20">
        <v>5.6667711194294803</v>
      </c>
      <c r="AN194" s="20" t="s">
        <v>58</v>
      </c>
    </row>
    <row r="195" spans="1:40" x14ac:dyDescent="0.25">
      <c r="A195" s="20">
        <v>193</v>
      </c>
      <c r="B195" s="20" t="s">
        <v>260</v>
      </c>
      <c r="C195" s="20" t="s">
        <v>80</v>
      </c>
      <c r="D195">
        <v>0</v>
      </c>
      <c r="E195" s="20" t="str">
        <f t="shared" ref="E195:E258" si="3">RIGHT(B195,4)</f>
        <v>GUAL</v>
      </c>
      <c r="F195" s="20">
        <v>42.343899999999998</v>
      </c>
      <c r="G195" s="20">
        <v>13.378399999999999</v>
      </c>
      <c r="H195" s="20">
        <v>8.6389999999999993</v>
      </c>
      <c r="I195" s="20">
        <v>6.3</v>
      </c>
      <c r="J195" s="20">
        <v>134.32939999999999</v>
      </c>
      <c r="K195" s="20">
        <v>48.441400000000002</v>
      </c>
      <c r="L195" s="20">
        <v>-113.304764490124</v>
      </c>
      <c r="M195" s="20">
        <v>0</v>
      </c>
      <c r="N195" s="20">
        <v>15</v>
      </c>
      <c r="O195" s="20">
        <v>12</v>
      </c>
      <c r="P195" s="20">
        <v>2</v>
      </c>
      <c r="Q195" s="20">
        <v>2</v>
      </c>
      <c r="R195">
        <v>30</v>
      </c>
      <c r="S195">
        <v>24</v>
      </c>
      <c r="T195">
        <v>17.673375504371499</v>
      </c>
      <c r="U195">
        <v>20</v>
      </c>
      <c r="V195">
        <v>20</v>
      </c>
      <c r="W195">
        <v>31.812075907868699</v>
      </c>
      <c r="X195">
        <v>32.481791551897899</v>
      </c>
      <c r="Y195" s="20" t="s">
        <v>92</v>
      </c>
      <c r="Z195">
        <v>88</v>
      </c>
      <c r="AA195">
        <v>20</v>
      </c>
      <c r="AB195">
        <v>108</v>
      </c>
      <c r="AC195">
        <v>2.0615528128088298</v>
      </c>
      <c r="AD195">
        <v>1.5</v>
      </c>
      <c r="AE195">
        <v>5.3150729063673303</v>
      </c>
      <c r="AF195">
        <v>10.327892978807199</v>
      </c>
      <c r="AG195">
        <v>9.4877284609115797</v>
      </c>
      <c r="AH195">
        <v>3.7355229435798001</v>
      </c>
      <c r="AI195">
        <v>3.53103318789117</v>
      </c>
      <c r="AJ195">
        <v>3.9213748749906401</v>
      </c>
      <c r="AK195">
        <v>3.7676597953695699</v>
      </c>
      <c r="AL195" s="20">
        <v>8.7389873509463296</v>
      </c>
      <c r="AM195" s="20">
        <v>6.6333691484795301</v>
      </c>
      <c r="AN195" s="20" t="s">
        <v>58</v>
      </c>
    </row>
    <row r="196" spans="1:40" x14ac:dyDescent="0.25">
      <c r="A196" s="20">
        <v>194</v>
      </c>
      <c r="B196" s="20" t="s">
        <v>261</v>
      </c>
      <c r="C196" s="20" t="s">
        <v>80</v>
      </c>
      <c r="D196">
        <v>0</v>
      </c>
      <c r="E196" s="20" t="str">
        <f t="shared" si="3"/>
        <v>CIRE</v>
      </c>
      <c r="F196" s="20">
        <v>42.35</v>
      </c>
      <c r="G196" s="20">
        <v>13.38</v>
      </c>
      <c r="H196" s="20">
        <v>9.5</v>
      </c>
      <c r="I196" s="20">
        <v>6.1</v>
      </c>
      <c r="J196" s="20">
        <v>133</v>
      </c>
      <c r="K196" s="20">
        <v>54</v>
      </c>
      <c r="L196" s="20">
        <v>-99</v>
      </c>
      <c r="M196" s="20">
        <v>1.82</v>
      </c>
      <c r="N196" s="20">
        <v>15</v>
      </c>
      <c r="O196" s="20">
        <v>9</v>
      </c>
      <c r="P196" s="20">
        <v>1.75</v>
      </c>
      <c r="Q196" s="20">
        <v>1.75</v>
      </c>
      <c r="R196">
        <v>26.25</v>
      </c>
      <c r="S196">
        <v>15.75</v>
      </c>
      <c r="T196">
        <v>33.592592592592602</v>
      </c>
      <c r="U196">
        <v>21</v>
      </c>
      <c r="V196">
        <v>15.75</v>
      </c>
      <c r="W196">
        <v>41.990740740740698</v>
      </c>
      <c r="X196">
        <v>31.976327128012699</v>
      </c>
      <c r="Y196" s="20" t="s">
        <v>76</v>
      </c>
      <c r="Z196">
        <v>67.375</v>
      </c>
      <c r="AA196">
        <v>52.0625</v>
      </c>
      <c r="AB196">
        <v>119.4375</v>
      </c>
      <c r="AC196">
        <v>0</v>
      </c>
      <c r="AD196">
        <v>1.2374368670764599</v>
      </c>
      <c r="AE196">
        <v>2.76699295264733</v>
      </c>
      <c r="AF196">
        <v>16.562898133489501</v>
      </c>
      <c r="AG196">
        <v>15.7499590618743</v>
      </c>
      <c r="AH196">
        <v>4.7927368545581501</v>
      </c>
      <c r="AI196">
        <v>4.7358742526551802</v>
      </c>
      <c r="AJ196">
        <v>3.86910104413588</v>
      </c>
      <c r="AK196">
        <v>3.7239207136672299</v>
      </c>
      <c r="AL196" s="20">
        <v>7.7486499791899197</v>
      </c>
      <c r="AM196" s="20">
        <v>7.4182644769514701</v>
      </c>
      <c r="AN196" s="20" t="s">
        <v>58</v>
      </c>
    </row>
    <row r="197" spans="1:40" x14ac:dyDescent="0.25">
      <c r="A197" s="20">
        <v>195</v>
      </c>
      <c r="B197" s="20" t="s">
        <v>262</v>
      </c>
      <c r="C197" s="20" t="s">
        <v>63</v>
      </c>
      <c r="D197">
        <v>0</v>
      </c>
      <c r="E197" s="20" t="str">
        <f t="shared" si="3"/>
        <v>HAYE</v>
      </c>
      <c r="F197" s="20">
        <v>16.778600000000001</v>
      </c>
      <c r="G197" s="20">
        <v>-86.180800000000005</v>
      </c>
      <c r="H197" s="20">
        <v>13.515499999999999</v>
      </c>
      <c r="I197" s="20">
        <v>7.3</v>
      </c>
      <c r="J197" s="20">
        <v>65.299999999999699</v>
      </c>
      <c r="K197" s="20">
        <v>81.75</v>
      </c>
      <c r="L197" s="20">
        <v>-25.867421354611501</v>
      </c>
      <c r="M197" s="20">
        <v>-2.0715156203442602</v>
      </c>
      <c r="N197" s="20">
        <v>36</v>
      </c>
      <c r="O197" s="20">
        <v>8</v>
      </c>
      <c r="P197" s="20">
        <v>5</v>
      </c>
      <c r="Q197" s="20">
        <v>4.5</v>
      </c>
      <c r="R197">
        <v>180</v>
      </c>
      <c r="S197">
        <v>36</v>
      </c>
      <c r="T197">
        <v>57.767041979166699</v>
      </c>
      <c r="U197">
        <v>165</v>
      </c>
      <c r="V197">
        <v>31.5</v>
      </c>
      <c r="W197">
        <v>72.021247142857106</v>
      </c>
      <c r="X197">
        <v>76.390632247044195</v>
      </c>
      <c r="Y197" s="20" t="s">
        <v>64</v>
      </c>
      <c r="Z197">
        <v>1395</v>
      </c>
      <c r="AA197">
        <v>247.5</v>
      </c>
      <c r="AB197">
        <v>1642.5</v>
      </c>
      <c r="AC197">
        <v>89.136482430035301</v>
      </c>
      <c r="AD197">
        <v>3.3634060117684301</v>
      </c>
      <c r="AE197">
        <v>28.316293895917902</v>
      </c>
      <c r="AF197">
        <v>33.565739073197904</v>
      </c>
      <c r="AG197">
        <v>22.2235646126577</v>
      </c>
      <c r="AH197">
        <v>36.471423268325402</v>
      </c>
      <c r="AI197">
        <v>23.8628368973371</v>
      </c>
      <c r="AJ197">
        <v>9.7202898976924494</v>
      </c>
      <c r="AK197">
        <v>8.3842539225286394</v>
      </c>
      <c r="AL197" s="20">
        <v>44.182497291348298</v>
      </c>
      <c r="AM197" s="20">
        <v>11.8666112112936</v>
      </c>
      <c r="AN197" s="20" t="s">
        <v>58</v>
      </c>
    </row>
    <row r="198" spans="1:40" x14ac:dyDescent="0.25">
      <c r="A198" s="20">
        <v>196</v>
      </c>
      <c r="B198" s="20" t="s">
        <v>263</v>
      </c>
      <c r="C198" s="20" t="s">
        <v>56</v>
      </c>
      <c r="D198">
        <v>0</v>
      </c>
      <c r="E198" s="20" t="str">
        <f t="shared" si="3"/>
        <v>HAYE</v>
      </c>
      <c r="F198" s="20">
        <v>-0.79820000000000002</v>
      </c>
      <c r="G198" s="20">
        <v>99.889899999999997</v>
      </c>
      <c r="H198" s="20">
        <v>77.254499999999993</v>
      </c>
      <c r="I198" s="20">
        <v>7.6</v>
      </c>
      <c r="J198" s="20">
        <v>71.340000000000103</v>
      </c>
      <c r="K198" s="20">
        <v>53.510000000000197</v>
      </c>
      <c r="L198" s="20">
        <v>143.24760410343899</v>
      </c>
      <c r="M198" s="20">
        <v>49.295911258280697</v>
      </c>
      <c r="N198" s="20">
        <v>13</v>
      </c>
      <c r="O198" s="20">
        <v>15</v>
      </c>
      <c r="P198" s="20">
        <v>5</v>
      </c>
      <c r="Q198" s="20">
        <v>4.6399999999999997</v>
      </c>
      <c r="R198" s="25">
        <v>65</v>
      </c>
      <c r="S198" s="25">
        <v>69.599999999999994</v>
      </c>
      <c r="T198" s="25">
        <v>67.419767128205095</v>
      </c>
      <c r="U198" s="25">
        <v>35</v>
      </c>
      <c r="V198" s="25">
        <v>27.84</v>
      </c>
      <c r="W198" s="25">
        <v>313.02034738095199</v>
      </c>
      <c r="X198" s="25">
        <v>268.81549060711802</v>
      </c>
      <c r="Y198" s="20" t="s">
        <v>64</v>
      </c>
      <c r="Z198" s="25">
        <v>278.39999999999998</v>
      </c>
      <c r="AA198" s="25">
        <v>116</v>
      </c>
      <c r="AB198" s="25">
        <v>394.4</v>
      </c>
      <c r="AC198" s="25">
        <v>11.8663389467856</v>
      </c>
      <c r="AD198" s="25">
        <v>3.41063044025588</v>
      </c>
      <c r="AE198" s="25">
        <v>3.41063044025588</v>
      </c>
      <c r="AF198" s="25">
        <v>25.714118872542802</v>
      </c>
      <c r="AG198" s="25">
        <v>31.9551876521639</v>
      </c>
      <c r="AH198" s="25">
        <v>9.4887038314486905</v>
      </c>
      <c r="AI198" s="25">
        <v>10.472615332838499</v>
      </c>
      <c r="AJ198" s="25">
        <v>9.5737744034890699</v>
      </c>
      <c r="AK198" s="25">
        <v>9.6842567287659396</v>
      </c>
      <c r="AL198" s="20">
        <v>7.7462441976741196</v>
      </c>
      <c r="AM198" s="20">
        <v>7.6068283305198898</v>
      </c>
      <c r="AN198" s="20" t="s">
        <v>58</v>
      </c>
    </row>
    <row r="199" spans="1:40" x14ac:dyDescent="0.25">
      <c r="A199" s="20">
        <v>197</v>
      </c>
      <c r="B199" s="20" t="s">
        <v>264</v>
      </c>
      <c r="C199" s="20" t="s">
        <v>56</v>
      </c>
      <c r="D199">
        <v>0</v>
      </c>
      <c r="E199" s="20" t="str">
        <f t="shared" si="3"/>
        <v>SLAD</v>
      </c>
      <c r="F199" s="20">
        <v>-0.78900000000000003</v>
      </c>
      <c r="G199" s="20">
        <v>99.960999999999999</v>
      </c>
      <c r="H199" s="20">
        <v>80</v>
      </c>
      <c r="I199" s="20">
        <v>7.6</v>
      </c>
      <c r="J199" s="20">
        <v>193</v>
      </c>
      <c r="K199" s="20">
        <v>58</v>
      </c>
      <c r="L199" s="20">
        <v>44.270723231380899</v>
      </c>
      <c r="M199" s="20">
        <v>60.918879759608899</v>
      </c>
      <c r="N199" s="20">
        <v>9</v>
      </c>
      <c r="O199" s="20">
        <v>9</v>
      </c>
      <c r="P199" s="20">
        <v>6</v>
      </c>
      <c r="Q199" s="20">
        <v>5</v>
      </c>
      <c r="R199">
        <v>54</v>
      </c>
      <c r="S199">
        <v>45</v>
      </c>
      <c r="T199">
        <v>158.24691790123501</v>
      </c>
      <c r="U199">
        <v>48</v>
      </c>
      <c r="V199">
        <v>40</v>
      </c>
      <c r="W199">
        <v>200.28125546875</v>
      </c>
      <c r="X199">
        <v>154.41794381055601</v>
      </c>
      <c r="Y199" s="20" t="s">
        <v>64</v>
      </c>
      <c r="Z199">
        <v>510</v>
      </c>
      <c r="AA199">
        <v>270</v>
      </c>
      <c r="AB199">
        <v>780</v>
      </c>
      <c r="AC199">
        <v>15.206906325745599</v>
      </c>
      <c r="AD199">
        <v>3.9051248379533301</v>
      </c>
      <c r="AE199">
        <v>3.9051248379533301</v>
      </c>
      <c r="AF199">
        <v>53.666343705046899</v>
      </c>
      <c r="AG199">
        <v>40.078226106175798</v>
      </c>
      <c r="AH199">
        <v>15.794531500875101</v>
      </c>
      <c r="AI199">
        <v>12.5142245353702</v>
      </c>
      <c r="AJ199">
        <v>12.702987519504701</v>
      </c>
      <c r="AK199">
        <v>10.6381447973249</v>
      </c>
      <c r="AL199" s="20">
        <v>6.8563587129029404</v>
      </c>
      <c r="AM199" s="20">
        <v>5.5539002835845004</v>
      </c>
      <c r="AN199" s="20" t="s">
        <v>58</v>
      </c>
    </row>
    <row r="200" spans="1:40" x14ac:dyDescent="0.25">
      <c r="A200" s="20">
        <v>198</v>
      </c>
      <c r="B200" s="20" t="s">
        <v>265</v>
      </c>
      <c r="C200" s="20" t="s">
        <v>56</v>
      </c>
      <c r="D200">
        <v>0</v>
      </c>
      <c r="E200" s="20" t="str">
        <f t="shared" si="3"/>
        <v>SLAD</v>
      </c>
      <c r="F200" s="20">
        <v>-0.78900000000000003</v>
      </c>
      <c r="G200" s="20">
        <v>99.960999999999999</v>
      </c>
      <c r="H200" s="20">
        <v>80</v>
      </c>
      <c r="I200" s="20">
        <v>7.6</v>
      </c>
      <c r="J200" s="20">
        <v>72</v>
      </c>
      <c r="K200" s="20">
        <v>51</v>
      </c>
      <c r="L200" s="20">
        <v>122.410893645371</v>
      </c>
      <c r="M200" s="20">
        <v>70.285635096357595</v>
      </c>
      <c r="N200" s="20">
        <v>8</v>
      </c>
      <c r="O200" s="20">
        <v>9</v>
      </c>
      <c r="P200" s="20">
        <v>6</v>
      </c>
      <c r="Q200" s="20">
        <v>5</v>
      </c>
      <c r="R200">
        <v>48</v>
      </c>
      <c r="S200">
        <v>45</v>
      </c>
      <c r="T200">
        <v>177.76389222222201</v>
      </c>
      <c r="U200">
        <v>48</v>
      </c>
      <c r="V200">
        <v>40</v>
      </c>
      <c r="W200">
        <v>199.98437874999999</v>
      </c>
      <c r="X200">
        <v>160.56127372585399</v>
      </c>
      <c r="Y200" s="20" t="s">
        <v>64</v>
      </c>
      <c r="Z200">
        <v>540</v>
      </c>
      <c r="AA200">
        <v>330</v>
      </c>
      <c r="AB200">
        <v>870</v>
      </c>
      <c r="AC200">
        <v>12.8549601321824</v>
      </c>
      <c r="AD200">
        <v>3.9051248379533301</v>
      </c>
      <c r="AE200">
        <v>3.9051248379533301</v>
      </c>
      <c r="AF200">
        <v>47.999999211575499</v>
      </c>
      <c r="AG200">
        <v>44.999999925434999</v>
      </c>
      <c r="AH200">
        <v>17.940062849828902</v>
      </c>
      <c r="AI200">
        <v>14.9566433382951</v>
      </c>
      <c r="AJ200">
        <v>13.3320279385026</v>
      </c>
      <c r="AK200">
        <v>10.811274608316801</v>
      </c>
      <c r="AL200" s="20">
        <v>8.3010607719736598</v>
      </c>
      <c r="AM200" s="20">
        <v>8.4275826029769707</v>
      </c>
      <c r="AN200" s="20" t="s">
        <v>58</v>
      </c>
    </row>
    <row r="201" spans="1:40" x14ac:dyDescent="0.25">
      <c r="A201" s="20">
        <v>199</v>
      </c>
      <c r="B201" s="20" t="s">
        <v>266</v>
      </c>
      <c r="C201" s="20" t="s">
        <v>56</v>
      </c>
      <c r="D201">
        <v>0</v>
      </c>
      <c r="E201" s="20" t="str">
        <f t="shared" si="3"/>
        <v>HAYE</v>
      </c>
      <c r="F201" s="20">
        <v>-0.8</v>
      </c>
      <c r="G201" s="20">
        <v>99.9</v>
      </c>
      <c r="H201" s="20">
        <v>78</v>
      </c>
      <c r="I201" s="20">
        <v>7.46</v>
      </c>
      <c r="J201" s="20">
        <v>189.54</v>
      </c>
      <c r="K201" s="20">
        <v>57.43</v>
      </c>
      <c r="L201" s="20">
        <v>42.8278568293916</v>
      </c>
      <c r="M201" s="20">
        <v>48.69</v>
      </c>
      <c r="N201" s="20">
        <v>13</v>
      </c>
      <c r="O201" s="20">
        <v>15</v>
      </c>
      <c r="P201" s="20">
        <v>5</v>
      </c>
      <c r="Q201" s="20">
        <v>4.63657012675736</v>
      </c>
      <c r="R201" s="25">
        <v>65</v>
      </c>
      <c r="S201" s="25">
        <v>69.548551901360398</v>
      </c>
      <c r="T201" s="25">
        <v>67.612256410256407</v>
      </c>
      <c r="U201" s="25">
        <v>35</v>
      </c>
      <c r="V201" s="25">
        <v>32.455990887301503</v>
      </c>
      <c r="W201" s="25">
        <v>269.06918367346901</v>
      </c>
      <c r="X201" s="25">
        <v>279.68967072321601</v>
      </c>
      <c r="Y201" s="20" t="s">
        <v>102</v>
      </c>
      <c r="Z201" s="25">
        <v>208.64565570408101</v>
      </c>
      <c r="AA201" s="25">
        <v>185.462805070294</v>
      </c>
      <c r="AB201" s="25">
        <v>394.108460774376</v>
      </c>
      <c r="AC201" s="25">
        <v>7.3905352117260197</v>
      </c>
      <c r="AD201" s="25">
        <v>3.4094641272617401</v>
      </c>
      <c r="AE201" s="25">
        <v>3.4094641272617499</v>
      </c>
      <c r="AF201" s="25">
        <v>31.479374880800101</v>
      </c>
      <c r="AG201" s="25">
        <v>28.494374483322598</v>
      </c>
      <c r="AH201" s="25">
        <v>10.6645793699769</v>
      </c>
      <c r="AI201" s="25">
        <v>9.8071419880829307</v>
      </c>
      <c r="AJ201" s="25">
        <v>10.0256106778626</v>
      </c>
      <c r="AK201" s="25">
        <v>9.4929042642183692</v>
      </c>
      <c r="AL201" s="20">
        <v>9.3702741916955397</v>
      </c>
      <c r="AM201" s="20">
        <v>8.6980885658961693</v>
      </c>
      <c r="AN201" s="20" t="s">
        <v>58</v>
      </c>
    </row>
    <row r="202" spans="1:40" x14ac:dyDescent="0.25">
      <c r="A202" s="20">
        <v>200</v>
      </c>
      <c r="B202" s="20" t="s">
        <v>267</v>
      </c>
      <c r="C202" s="20" t="s">
        <v>56</v>
      </c>
      <c r="D202">
        <v>1</v>
      </c>
      <c r="E202" s="20" t="str">
        <f t="shared" si="3"/>
        <v>HAYE</v>
      </c>
      <c r="F202" s="20">
        <v>-0.51</v>
      </c>
      <c r="G202" s="20">
        <v>132.78</v>
      </c>
      <c r="H202" s="20">
        <v>17</v>
      </c>
      <c r="I202" s="20">
        <v>7.65</v>
      </c>
      <c r="J202" s="20">
        <v>94</v>
      </c>
      <c r="K202" s="20">
        <v>28</v>
      </c>
      <c r="L202" s="20">
        <v>49.6787300310436</v>
      </c>
      <c r="M202" s="20">
        <v>0.21</v>
      </c>
      <c r="N202" s="20">
        <v>19</v>
      </c>
      <c r="O202" s="20">
        <v>16</v>
      </c>
      <c r="P202" s="20">
        <v>8</v>
      </c>
      <c r="Q202" s="20">
        <v>6.5</v>
      </c>
      <c r="R202" s="25">
        <v>152</v>
      </c>
      <c r="S202" s="25">
        <v>104</v>
      </c>
      <c r="T202" s="25">
        <v>66.477730263157895</v>
      </c>
      <c r="U202" s="25">
        <v>112</v>
      </c>
      <c r="V202" s="25">
        <v>78</v>
      </c>
      <c r="W202" s="25">
        <v>120.29303571428601</v>
      </c>
      <c r="X202" s="25">
        <v>115.28142237274101</v>
      </c>
      <c r="Y202" s="20" t="s">
        <v>102</v>
      </c>
      <c r="Z202" s="25">
        <v>1820</v>
      </c>
      <c r="AA202" s="25">
        <v>728</v>
      </c>
      <c r="AB202" s="25">
        <v>2548</v>
      </c>
      <c r="AC202" s="25">
        <v>12.4323167591564</v>
      </c>
      <c r="AD202" s="25">
        <v>5.1538820320220804</v>
      </c>
      <c r="AE202" s="25">
        <v>5.1538820320220804</v>
      </c>
      <c r="AF202" s="25">
        <v>50.028955294548602</v>
      </c>
      <c r="AG202" s="25">
        <v>34.890263090447299</v>
      </c>
      <c r="AH202" s="25">
        <v>28.031134840539401</v>
      </c>
      <c r="AI202" s="25">
        <v>20.2975952999758</v>
      </c>
      <c r="AJ202" s="25">
        <v>15.776227156110201</v>
      </c>
      <c r="AK202" s="25">
        <v>12.3265522145266</v>
      </c>
      <c r="AL202" s="20">
        <v>18.115518191870699</v>
      </c>
      <c r="AM202" s="20">
        <v>8.8682698137799107</v>
      </c>
      <c r="AN202" s="20" t="s">
        <v>58</v>
      </c>
    </row>
    <row r="203" spans="1:40" x14ac:dyDescent="0.25">
      <c r="A203" s="20">
        <v>201</v>
      </c>
      <c r="B203" s="20" t="s">
        <v>268</v>
      </c>
      <c r="C203" s="20" t="s">
        <v>80</v>
      </c>
      <c r="D203">
        <v>1</v>
      </c>
      <c r="E203" s="20" t="str">
        <f t="shared" si="3"/>
        <v>HAYE</v>
      </c>
      <c r="F203" s="20">
        <v>-15.616300000000001</v>
      </c>
      <c r="G203" s="20">
        <v>-172.30189999999999</v>
      </c>
      <c r="H203" s="20">
        <v>16.857099999999999</v>
      </c>
      <c r="I203" s="20">
        <v>8</v>
      </c>
      <c r="J203" s="20">
        <v>342.45001000000002</v>
      </c>
      <c r="K203" s="20">
        <v>57.060000000000301</v>
      </c>
      <c r="L203" s="20">
        <v>-73.073658349445296</v>
      </c>
      <c r="M203" s="20">
        <v>4.8551532743258701</v>
      </c>
      <c r="N203" s="20">
        <v>36</v>
      </c>
      <c r="O203" s="20">
        <v>12</v>
      </c>
      <c r="P203" s="20">
        <v>5</v>
      </c>
      <c r="Q203" s="20">
        <v>4.09</v>
      </c>
      <c r="R203" s="25">
        <v>180</v>
      </c>
      <c r="S203" s="25">
        <v>49.08</v>
      </c>
      <c r="T203" s="25">
        <v>332.61917756944501</v>
      </c>
      <c r="U203" s="25">
        <v>175</v>
      </c>
      <c r="V203" s="25">
        <v>49.08</v>
      </c>
      <c r="W203" s="25">
        <v>342.12258264285703</v>
      </c>
      <c r="X203" s="25">
        <v>447.23426880766101</v>
      </c>
      <c r="Y203" s="20" t="s">
        <v>64</v>
      </c>
      <c r="Z203" s="25">
        <v>858.9</v>
      </c>
      <c r="AA203" s="25">
        <v>1186.0999999999999</v>
      </c>
      <c r="AB203" s="25">
        <v>2045</v>
      </c>
      <c r="AC203" s="25">
        <v>133.39543929610201</v>
      </c>
      <c r="AD203" s="25">
        <v>3.2298645482434698</v>
      </c>
      <c r="AE203" s="25">
        <v>3.2298645482434698</v>
      </c>
      <c r="AF203" s="25">
        <v>43.6829471696078</v>
      </c>
      <c r="AG203" s="25">
        <v>21.6634621210878</v>
      </c>
      <c r="AH203" s="25">
        <v>24.191119821360399</v>
      </c>
      <c r="AI203" s="25">
        <v>13.769232245266799</v>
      </c>
      <c r="AJ203" s="25">
        <v>10.333257755939201</v>
      </c>
      <c r="AK203" s="25">
        <v>7.8961586612394203</v>
      </c>
      <c r="AL203" s="20">
        <v>7.4203580088834</v>
      </c>
      <c r="AM203" s="20">
        <v>5.1014750268917304</v>
      </c>
      <c r="AN203" s="20" t="s">
        <v>58</v>
      </c>
    </row>
    <row r="204" spans="1:40" x14ac:dyDescent="0.25">
      <c r="A204" s="20">
        <v>202</v>
      </c>
      <c r="B204" s="20" t="s">
        <v>269</v>
      </c>
      <c r="C204" s="20" t="s">
        <v>61</v>
      </c>
      <c r="D204">
        <v>1</v>
      </c>
      <c r="E204" s="20" t="str">
        <f t="shared" si="3"/>
        <v>HAYE</v>
      </c>
      <c r="F204" s="20">
        <v>-13.067500000000001</v>
      </c>
      <c r="G204" s="20">
        <v>166.17939999999999</v>
      </c>
      <c r="H204" s="20">
        <v>39.221899999999998</v>
      </c>
      <c r="I204" s="20">
        <v>7.8</v>
      </c>
      <c r="J204" s="20">
        <v>346</v>
      </c>
      <c r="K204" s="20">
        <v>33</v>
      </c>
      <c r="L204" s="20">
        <v>49.432006900774198</v>
      </c>
      <c r="M204" s="20">
        <v>3.8204048249248599</v>
      </c>
      <c r="N204" s="20">
        <v>20</v>
      </c>
      <c r="O204" s="20">
        <v>16</v>
      </c>
      <c r="P204" s="20">
        <v>10</v>
      </c>
      <c r="Q204" s="20">
        <v>10</v>
      </c>
      <c r="R204">
        <v>200</v>
      </c>
      <c r="S204">
        <v>160</v>
      </c>
      <c r="T204">
        <v>21.617948437500001</v>
      </c>
      <c r="U204">
        <v>130</v>
      </c>
      <c r="V204">
        <v>120</v>
      </c>
      <c r="W204">
        <v>44.344509615384602</v>
      </c>
      <c r="X204">
        <v>62.256013042139401</v>
      </c>
      <c r="Y204" s="20" t="s">
        <v>64</v>
      </c>
      <c r="Z204">
        <v>1900</v>
      </c>
      <c r="AA204">
        <v>1200</v>
      </c>
      <c r="AB204">
        <v>3100</v>
      </c>
      <c r="AC204">
        <v>25.495097567963899</v>
      </c>
      <c r="AD204">
        <v>7.0710678118654799</v>
      </c>
      <c r="AE204">
        <v>7.0710678118654799</v>
      </c>
      <c r="AF204">
        <v>39.7248352492945</v>
      </c>
      <c r="AG204">
        <v>34.616985597244799</v>
      </c>
      <c r="AH204">
        <v>29.3249742739936</v>
      </c>
      <c r="AI204">
        <v>26.1869746979587</v>
      </c>
      <c r="AJ204">
        <v>17.6158397539728</v>
      </c>
      <c r="AK204">
        <v>17.7481993557906</v>
      </c>
      <c r="AL204" s="20">
        <v>15.0798810797698</v>
      </c>
      <c r="AM204" s="20">
        <v>13.8085022540462</v>
      </c>
      <c r="AN204" s="20" t="s">
        <v>58</v>
      </c>
    </row>
    <row r="205" spans="1:40" x14ac:dyDescent="0.25">
      <c r="A205" s="20">
        <v>203</v>
      </c>
      <c r="B205" s="20" t="s">
        <v>270</v>
      </c>
      <c r="C205" s="20" t="s">
        <v>61</v>
      </c>
      <c r="D205">
        <v>1</v>
      </c>
      <c r="E205" s="20" t="str">
        <f t="shared" si="3"/>
        <v>SLAD</v>
      </c>
      <c r="F205" s="20">
        <v>-13.0642</v>
      </c>
      <c r="G205" s="20">
        <v>166.19</v>
      </c>
      <c r="H205" s="20">
        <v>35</v>
      </c>
      <c r="I205" s="20">
        <v>7.6</v>
      </c>
      <c r="J205" s="20">
        <v>346</v>
      </c>
      <c r="K205" s="20">
        <v>40</v>
      </c>
      <c r="L205" s="20">
        <v>61.4196042824274</v>
      </c>
      <c r="M205" s="20">
        <v>20.5372309757837</v>
      </c>
      <c r="N205" s="20">
        <v>13</v>
      </c>
      <c r="O205" s="20">
        <v>12</v>
      </c>
      <c r="P205" s="20">
        <v>7</v>
      </c>
      <c r="Q205" s="20">
        <v>5</v>
      </c>
      <c r="R205">
        <v>91</v>
      </c>
      <c r="S205">
        <v>60</v>
      </c>
      <c r="T205">
        <v>87.339741602564104</v>
      </c>
      <c r="U205">
        <v>91</v>
      </c>
      <c r="V205">
        <v>55</v>
      </c>
      <c r="W205">
        <v>95.279718111888101</v>
      </c>
      <c r="X205">
        <v>94.293112154741607</v>
      </c>
      <c r="Y205" s="20" t="s">
        <v>64</v>
      </c>
      <c r="Z205">
        <v>945</v>
      </c>
      <c r="AA205">
        <v>980</v>
      </c>
      <c r="AB205">
        <v>1925</v>
      </c>
      <c r="AC205">
        <v>0</v>
      </c>
      <c r="AD205">
        <v>4.3011626335213098</v>
      </c>
      <c r="AE205">
        <v>8.2764726786234206</v>
      </c>
      <c r="AF205">
        <v>70.238188305029595</v>
      </c>
      <c r="AG205">
        <v>40.873577872372501</v>
      </c>
      <c r="AH205">
        <v>19.623940879214299</v>
      </c>
      <c r="AI205">
        <v>12.6495674043286</v>
      </c>
      <c r="AJ205">
        <v>15.111381064131001</v>
      </c>
      <c r="AK205">
        <v>10.389558690969</v>
      </c>
      <c r="AL205" s="20">
        <v>23.350049464615701</v>
      </c>
      <c r="AM205" s="20">
        <v>22.393735440073399</v>
      </c>
      <c r="AN205" s="20" t="s">
        <v>58</v>
      </c>
    </row>
    <row r="206" spans="1:40" x14ac:dyDescent="0.25">
      <c r="A206" s="20">
        <v>204</v>
      </c>
      <c r="B206" s="20" t="s">
        <v>271</v>
      </c>
      <c r="C206" s="20" t="s">
        <v>61</v>
      </c>
      <c r="D206">
        <v>1</v>
      </c>
      <c r="E206" s="20" t="str">
        <f t="shared" si="3"/>
        <v>HAYE</v>
      </c>
      <c r="F206" s="20">
        <v>-13.01</v>
      </c>
      <c r="G206" s="20">
        <v>166.51</v>
      </c>
      <c r="H206" s="20">
        <v>45</v>
      </c>
      <c r="I206" s="20">
        <v>7.6</v>
      </c>
      <c r="J206" s="20">
        <v>343.58</v>
      </c>
      <c r="K206" s="20">
        <v>46</v>
      </c>
      <c r="L206" s="20">
        <v>88.270611702300997</v>
      </c>
      <c r="M206" s="20">
        <v>0.17</v>
      </c>
      <c r="N206" s="20">
        <v>17</v>
      </c>
      <c r="O206" s="20">
        <v>18</v>
      </c>
      <c r="P206" s="20">
        <v>8</v>
      </c>
      <c r="Q206" s="20">
        <v>6.56</v>
      </c>
      <c r="R206" s="25">
        <v>136</v>
      </c>
      <c r="S206" s="25">
        <v>118.08</v>
      </c>
      <c r="T206" s="25">
        <v>31.000816993464099</v>
      </c>
      <c r="U206" s="25">
        <v>88</v>
      </c>
      <c r="V206" s="25">
        <v>65.599999999999994</v>
      </c>
      <c r="W206" s="25">
        <v>86.238636363636402</v>
      </c>
      <c r="X206" s="25">
        <v>91.535406259934007</v>
      </c>
      <c r="Y206" s="20" t="s">
        <v>102</v>
      </c>
      <c r="Z206" s="25">
        <v>1259.52</v>
      </c>
      <c r="AA206" s="25">
        <v>524.79999999999995</v>
      </c>
      <c r="AB206" s="25">
        <v>1784.32</v>
      </c>
      <c r="AC206" s="25">
        <v>42.6984964606484</v>
      </c>
      <c r="AD206" s="25">
        <v>5.1728522113046997</v>
      </c>
      <c r="AE206" s="25">
        <v>5.1728522113047104</v>
      </c>
      <c r="AF206" s="25">
        <v>44.772106816965902</v>
      </c>
      <c r="AG206" s="25">
        <v>37.155316398329397</v>
      </c>
      <c r="AH206" s="25">
        <v>15.8201201785132</v>
      </c>
      <c r="AI206" s="25">
        <v>13.1583043677983</v>
      </c>
      <c r="AJ206" s="25">
        <v>15.426218742624901</v>
      </c>
      <c r="AK206" s="25">
        <v>12.8809591172063</v>
      </c>
      <c r="AL206" s="20">
        <v>16.092518954159999</v>
      </c>
      <c r="AM206" s="20">
        <v>18.576565057082</v>
      </c>
      <c r="AN206" s="20" t="s">
        <v>58</v>
      </c>
    </row>
    <row r="207" spans="1:40" x14ac:dyDescent="0.25">
      <c r="A207" s="20">
        <v>205</v>
      </c>
      <c r="B207" s="20" t="s">
        <v>272</v>
      </c>
      <c r="C207" s="20" t="s">
        <v>56</v>
      </c>
      <c r="D207">
        <v>1</v>
      </c>
      <c r="E207" s="20" t="str">
        <f t="shared" si="3"/>
        <v>HAYE</v>
      </c>
      <c r="F207" s="20">
        <v>26.865600000000001</v>
      </c>
      <c r="G207" s="20">
        <v>143.73920000000001</v>
      </c>
      <c r="H207" s="20">
        <v>14</v>
      </c>
      <c r="I207" s="20">
        <v>7.37</v>
      </c>
      <c r="J207" s="20">
        <v>116.32</v>
      </c>
      <c r="K207" s="20">
        <v>40.35</v>
      </c>
      <c r="L207" s="20">
        <v>-124.357795399628</v>
      </c>
      <c r="M207" s="20">
        <v>6.06</v>
      </c>
      <c r="N207" s="20">
        <v>22</v>
      </c>
      <c r="O207" s="20">
        <v>12</v>
      </c>
      <c r="P207" s="20">
        <v>5</v>
      </c>
      <c r="Q207" s="20">
        <v>3.5</v>
      </c>
      <c r="R207" s="25">
        <v>110</v>
      </c>
      <c r="S207" s="25">
        <v>42</v>
      </c>
      <c r="T207" s="25">
        <v>50.2575378787879</v>
      </c>
      <c r="U207" s="25">
        <v>60</v>
      </c>
      <c r="V207" s="25">
        <v>38.5</v>
      </c>
      <c r="W207" s="25">
        <v>100.515075757576</v>
      </c>
      <c r="X207" s="25">
        <v>97.703097826844399</v>
      </c>
      <c r="Y207" s="20" t="s">
        <v>102</v>
      </c>
      <c r="Z207" s="25">
        <v>507.5</v>
      </c>
      <c r="AA207" s="25">
        <v>367.5</v>
      </c>
      <c r="AB207" s="25">
        <v>875</v>
      </c>
      <c r="AC207" s="25">
        <v>23.543842082379001</v>
      </c>
      <c r="AD207" s="25">
        <v>3.05163890393343</v>
      </c>
      <c r="AE207" s="25">
        <v>3.05163890393343</v>
      </c>
      <c r="AF207" s="25">
        <v>34.557466728289199</v>
      </c>
      <c r="AG207" s="25">
        <v>39.622441761098699</v>
      </c>
      <c r="AH207" s="25">
        <v>11.9575653721961</v>
      </c>
      <c r="AI207" s="25">
        <v>10.4057968930607</v>
      </c>
      <c r="AJ207" s="25">
        <v>10.2431424396342</v>
      </c>
      <c r="AK207" s="25">
        <v>7.6050251636953101</v>
      </c>
      <c r="AL207" s="20">
        <v>12.339724260290399</v>
      </c>
      <c r="AM207" s="20">
        <v>9.9448288999861596</v>
      </c>
      <c r="AN207" s="20" t="s">
        <v>58</v>
      </c>
    </row>
    <row r="208" spans="1:40" x14ac:dyDescent="0.25">
      <c r="A208" s="20">
        <v>206</v>
      </c>
      <c r="B208" s="20" t="s">
        <v>273</v>
      </c>
      <c r="C208" s="20" t="s">
        <v>63</v>
      </c>
      <c r="D208">
        <v>0</v>
      </c>
      <c r="E208" s="20" t="str">
        <f t="shared" si="3"/>
        <v>HAYE</v>
      </c>
      <c r="F208" s="20">
        <v>-43.614800000000002</v>
      </c>
      <c r="G208" s="20">
        <v>172.0386</v>
      </c>
      <c r="H208" s="20">
        <v>10.839499999999999</v>
      </c>
      <c r="I208" s="20">
        <v>7.02</v>
      </c>
      <c r="J208" s="20">
        <v>85.139999999999603</v>
      </c>
      <c r="K208" s="20">
        <v>82.209999999999397</v>
      </c>
      <c r="L208" s="20">
        <v>153.65302017196399</v>
      </c>
      <c r="M208" s="20">
        <v>-5.8971512217221397E-2</v>
      </c>
      <c r="N208" s="20">
        <v>32</v>
      </c>
      <c r="O208" s="20">
        <v>13</v>
      </c>
      <c r="P208" s="20">
        <v>2.5</v>
      </c>
      <c r="Q208" s="20">
        <v>2</v>
      </c>
      <c r="R208">
        <v>80</v>
      </c>
      <c r="S208">
        <v>26</v>
      </c>
      <c r="T208">
        <v>60.2951415384615</v>
      </c>
      <c r="U208">
        <v>65</v>
      </c>
      <c r="V208">
        <v>24</v>
      </c>
      <c r="W208">
        <v>80.393522051282105</v>
      </c>
      <c r="X208">
        <v>86.345174981388595</v>
      </c>
      <c r="Y208" s="20" t="s">
        <v>64</v>
      </c>
      <c r="Z208">
        <v>375</v>
      </c>
      <c r="AA208">
        <v>90</v>
      </c>
      <c r="AB208">
        <v>465</v>
      </c>
      <c r="AC208">
        <v>24.911091907020101</v>
      </c>
      <c r="AD208">
        <v>1.6007810593582099</v>
      </c>
      <c r="AE208">
        <v>5.1538820320220804</v>
      </c>
      <c r="AF208">
        <v>16.897019098862401</v>
      </c>
      <c r="AG208">
        <v>13.1582586051529</v>
      </c>
      <c r="AH208">
        <v>10.144193276717299</v>
      </c>
      <c r="AI208">
        <v>8.0006620057225</v>
      </c>
      <c r="AJ208">
        <v>4.8995533510009501</v>
      </c>
      <c r="AK208">
        <v>3.9919920124417301</v>
      </c>
      <c r="AL208" s="20">
        <v>7.5687230158065599</v>
      </c>
      <c r="AM208" s="20">
        <v>4.1866290425591801</v>
      </c>
      <c r="AN208" s="20" t="s">
        <v>58</v>
      </c>
    </row>
    <row r="209" spans="1:40" x14ac:dyDescent="0.25">
      <c r="A209" s="20">
        <v>207</v>
      </c>
      <c r="B209" s="20" t="s">
        <v>274</v>
      </c>
      <c r="C209" s="20" t="s">
        <v>56</v>
      </c>
      <c r="D209">
        <v>0</v>
      </c>
      <c r="E209" s="20" t="str">
        <f t="shared" si="3"/>
        <v>MEND</v>
      </c>
      <c r="F209" s="20">
        <v>32.299999999999997</v>
      </c>
      <c r="G209" s="20">
        <v>-115.3</v>
      </c>
      <c r="H209" s="20">
        <v>10</v>
      </c>
      <c r="I209" s="20">
        <v>7.35</v>
      </c>
      <c r="J209" s="20">
        <v>313</v>
      </c>
      <c r="K209" s="20">
        <v>88</v>
      </c>
      <c r="L209" s="20">
        <v>-174</v>
      </c>
      <c r="M209" s="20">
        <v>2</v>
      </c>
      <c r="N209" s="20">
        <v>30</v>
      </c>
      <c r="O209" s="20">
        <v>4</v>
      </c>
      <c r="P209" s="20">
        <v>4</v>
      </c>
      <c r="Q209" s="20">
        <v>4</v>
      </c>
      <c r="R209">
        <v>120</v>
      </c>
      <c r="S209">
        <v>16</v>
      </c>
      <c r="T209">
        <v>189.07417883871801</v>
      </c>
      <c r="U209">
        <v>120</v>
      </c>
      <c r="V209">
        <v>16</v>
      </c>
      <c r="W209">
        <v>189.07417883871801</v>
      </c>
      <c r="X209">
        <v>209.695135113357</v>
      </c>
      <c r="Y209" s="20" t="s">
        <v>69</v>
      </c>
      <c r="Z209" s="28">
        <v>272</v>
      </c>
      <c r="AA209">
        <v>128</v>
      </c>
      <c r="AB209">
        <v>400</v>
      </c>
      <c r="AC209">
        <v>58.240879114244102</v>
      </c>
      <c r="AD209">
        <v>16</v>
      </c>
      <c r="AE209">
        <v>24.331050121192899</v>
      </c>
      <c r="AF209">
        <v>17.576401413619699</v>
      </c>
      <c r="AG209">
        <v>7.2004395990696004</v>
      </c>
      <c r="AH209">
        <v>16.174126432292798</v>
      </c>
      <c r="AI209">
        <v>6.8533208755303097</v>
      </c>
      <c r="AJ209">
        <v>7.5661112758885896</v>
      </c>
      <c r="AK209">
        <v>5.9810220129570002</v>
      </c>
      <c r="AL209" s="20">
        <v>38.818897985646103</v>
      </c>
      <c r="AM209" s="20">
        <v>35.692356499676499</v>
      </c>
      <c r="AN209" s="20" t="s">
        <v>58</v>
      </c>
    </row>
    <row r="210" spans="1:40" x14ac:dyDescent="0.25">
      <c r="A210" s="20">
        <v>208</v>
      </c>
      <c r="B210" s="20" t="s">
        <v>275</v>
      </c>
      <c r="C210" s="20" t="s">
        <v>56</v>
      </c>
      <c r="D210">
        <v>0</v>
      </c>
      <c r="E210" s="20" t="str">
        <f t="shared" si="3"/>
        <v>CALA</v>
      </c>
      <c r="F210" s="20">
        <v>18.5075889702</v>
      </c>
      <c r="G210" s="20">
        <v>-72.637450411000003</v>
      </c>
      <c r="H210" s="20">
        <v>12.9284480674</v>
      </c>
      <c r="I210" s="20">
        <v>7.1</v>
      </c>
      <c r="J210" s="20">
        <v>257.92737677999997</v>
      </c>
      <c r="K210" s="20">
        <v>59.9879662154</v>
      </c>
      <c r="L210" s="20">
        <v>31.592368167699998</v>
      </c>
      <c r="M210" s="20">
        <v>0</v>
      </c>
      <c r="N210" s="20">
        <v>25</v>
      </c>
      <c r="O210" s="20">
        <v>12</v>
      </c>
      <c r="P210" s="20">
        <v>2</v>
      </c>
      <c r="Q210" s="20">
        <v>2</v>
      </c>
      <c r="R210">
        <v>50</v>
      </c>
      <c r="S210">
        <v>24</v>
      </c>
      <c r="T210">
        <v>139.89264506964099</v>
      </c>
      <c r="U210">
        <v>34</v>
      </c>
      <c r="V210">
        <v>24</v>
      </c>
      <c r="W210">
        <v>205.72447804359001</v>
      </c>
      <c r="X210">
        <v>173.22187532552201</v>
      </c>
      <c r="Y210" s="20" t="s">
        <v>92</v>
      </c>
      <c r="Z210">
        <v>232</v>
      </c>
      <c r="AA210">
        <v>136</v>
      </c>
      <c r="AB210">
        <v>368</v>
      </c>
      <c r="AC210">
        <v>7.2603537448253901</v>
      </c>
      <c r="AD210">
        <v>0.99294335185850502</v>
      </c>
      <c r="AE210">
        <v>0.99294335185850502</v>
      </c>
      <c r="AF210">
        <v>49.999997224849601</v>
      </c>
      <c r="AG210">
        <v>19.767191141601302</v>
      </c>
      <c r="AH210">
        <v>10.4189775864384</v>
      </c>
      <c r="AI210">
        <v>6.2751814275298896</v>
      </c>
      <c r="AJ210">
        <v>4.9186296458789096</v>
      </c>
      <c r="AK210">
        <v>4.5272783521524698</v>
      </c>
      <c r="AL210" s="20">
        <v>6.2245369506494201</v>
      </c>
      <c r="AM210" s="20">
        <v>1.1128472356976999</v>
      </c>
      <c r="AN210" s="20" t="s">
        <v>58</v>
      </c>
    </row>
    <row r="211" spans="1:40" x14ac:dyDescent="0.25">
      <c r="A211" s="20">
        <v>209</v>
      </c>
      <c r="B211" s="20" t="s">
        <v>276</v>
      </c>
      <c r="C211" s="20" t="s">
        <v>56</v>
      </c>
      <c r="D211">
        <v>0</v>
      </c>
      <c r="E211" s="20" t="str">
        <f t="shared" si="3"/>
        <v>SLAD</v>
      </c>
      <c r="F211" s="20">
        <v>18.5</v>
      </c>
      <c r="G211" s="20">
        <v>-72.53</v>
      </c>
      <c r="H211" s="20">
        <v>11</v>
      </c>
      <c r="I211" s="20">
        <v>7</v>
      </c>
      <c r="J211" s="20">
        <v>262</v>
      </c>
      <c r="K211" s="20">
        <v>70</v>
      </c>
      <c r="L211" s="20">
        <v>34.945439464030898</v>
      </c>
      <c r="M211" s="20">
        <v>0.42845422401761402</v>
      </c>
      <c r="N211" s="20">
        <v>15</v>
      </c>
      <c r="O211" s="20">
        <v>9</v>
      </c>
      <c r="P211" s="20">
        <v>3</v>
      </c>
      <c r="Q211" s="20">
        <v>2.5</v>
      </c>
      <c r="R211">
        <v>45</v>
      </c>
      <c r="S211">
        <v>22.5</v>
      </c>
      <c r="T211">
        <v>144.933333333333</v>
      </c>
      <c r="U211">
        <v>42</v>
      </c>
      <c r="V211">
        <v>20</v>
      </c>
      <c r="W211">
        <v>174.69642857142901</v>
      </c>
      <c r="X211">
        <v>113.23024939254</v>
      </c>
      <c r="Y211" s="20" t="s">
        <v>64</v>
      </c>
      <c r="Z211">
        <v>247.5</v>
      </c>
      <c r="AA211">
        <v>262.5</v>
      </c>
      <c r="AB211">
        <v>510</v>
      </c>
      <c r="AC211">
        <v>0</v>
      </c>
      <c r="AD211">
        <v>1.9525624189766599</v>
      </c>
      <c r="AE211">
        <v>1.9525624189766599</v>
      </c>
      <c r="AF211">
        <v>44.9999885172547</v>
      </c>
      <c r="AG211">
        <v>22.395403307066999</v>
      </c>
      <c r="AH211">
        <v>10.6133020223382</v>
      </c>
      <c r="AI211">
        <v>7.2105463337850102</v>
      </c>
      <c r="AJ211">
        <v>6.7044459263230802</v>
      </c>
      <c r="AK211">
        <v>5.4806669946529798</v>
      </c>
      <c r="AL211" s="20">
        <v>9.3508017902209897</v>
      </c>
      <c r="AM211" s="20">
        <v>9.4968893986399596</v>
      </c>
      <c r="AN211" s="20" t="s">
        <v>58</v>
      </c>
    </row>
    <row r="212" spans="1:40" x14ac:dyDescent="0.25">
      <c r="A212" s="20">
        <v>210</v>
      </c>
      <c r="B212" s="20" t="s">
        <v>277</v>
      </c>
      <c r="C212" s="20" t="s">
        <v>56</v>
      </c>
      <c r="D212">
        <v>0</v>
      </c>
      <c r="E212" s="20" t="str">
        <f t="shared" si="3"/>
        <v>HAYE</v>
      </c>
      <c r="F212" s="20">
        <v>18.506399999999999</v>
      </c>
      <c r="G212" s="20">
        <v>-72.532300000000006</v>
      </c>
      <c r="H212" s="20">
        <v>12.216900000000001</v>
      </c>
      <c r="I212" s="20">
        <v>7</v>
      </c>
      <c r="J212" s="20">
        <v>264</v>
      </c>
      <c r="K212" s="20">
        <v>70</v>
      </c>
      <c r="L212" s="20">
        <v>45.071997347144297</v>
      </c>
      <c r="M212" s="20">
        <v>-0.70381577598238598</v>
      </c>
      <c r="N212" s="20">
        <v>18</v>
      </c>
      <c r="O212" s="20">
        <v>10</v>
      </c>
      <c r="P212" s="20">
        <v>3</v>
      </c>
      <c r="Q212" s="20">
        <v>2.5</v>
      </c>
      <c r="R212">
        <v>54</v>
      </c>
      <c r="S212">
        <v>25</v>
      </c>
      <c r="T212">
        <v>125.926301388889</v>
      </c>
      <c r="U212">
        <v>42</v>
      </c>
      <c r="V212">
        <v>20</v>
      </c>
      <c r="W212">
        <v>202.38155580357099</v>
      </c>
      <c r="X212">
        <v>182.642619155674</v>
      </c>
      <c r="Y212" s="20" t="s">
        <v>64</v>
      </c>
      <c r="Z212">
        <v>187.5</v>
      </c>
      <c r="AA212">
        <v>187.5</v>
      </c>
      <c r="AB212">
        <v>375</v>
      </c>
      <c r="AC212">
        <v>4.0388736053508802</v>
      </c>
      <c r="AD212">
        <v>1.9525624189766599</v>
      </c>
      <c r="AE212">
        <v>1.9525624189766599</v>
      </c>
      <c r="AF212">
        <v>19.7883581013329</v>
      </c>
      <c r="AG212">
        <v>24.9999930050427</v>
      </c>
      <c r="AH212">
        <v>6.7384358013231003</v>
      </c>
      <c r="AI212">
        <v>7.0768443540825601</v>
      </c>
      <c r="AJ212">
        <v>5.9667886391884704</v>
      </c>
      <c r="AK212">
        <v>5.4340288306418998</v>
      </c>
      <c r="AL212" s="20">
        <v>8.3607771080205193</v>
      </c>
      <c r="AM212" s="20">
        <v>8.3040206550802793</v>
      </c>
      <c r="AN212" s="20" t="s">
        <v>58</v>
      </c>
    </row>
    <row r="213" spans="1:40" x14ac:dyDescent="0.25">
      <c r="A213" s="20">
        <v>211</v>
      </c>
      <c r="B213" s="20" t="s">
        <v>278</v>
      </c>
      <c r="C213" s="20" t="s">
        <v>61</v>
      </c>
      <c r="D213">
        <v>1</v>
      </c>
      <c r="E213" s="20" t="str">
        <f t="shared" si="3"/>
        <v>DELO</v>
      </c>
      <c r="F213" s="20">
        <v>-36.207999999999998</v>
      </c>
      <c r="G213" s="20">
        <v>-72.962999999999994</v>
      </c>
      <c r="H213" s="20">
        <v>31.638999999999999</v>
      </c>
      <c r="I213" s="20">
        <v>8.8000000000000007</v>
      </c>
      <c r="J213" s="20">
        <v>15</v>
      </c>
      <c r="K213" s="20">
        <v>18</v>
      </c>
      <c r="L213" s="20">
        <v>109.329132404924</v>
      </c>
      <c r="M213" s="20">
        <v>0.73799999999999999</v>
      </c>
      <c r="N213" s="20">
        <v>18</v>
      </c>
      <c r="O213" s="20">
        <v>7</v>
      </c>
      <c r="P213" s="20">
        <v>40</v>
      </c>
      <c r="Q213" s="20">
        <v>40</v>
      </c>
      <c r="R213">
        <v>720</v>
      </c>
      <c r="S213">
        <v>280</v>
      </c>
      <c r="T213">
        <v>194.65873015873001</v>
      </c>
      <c r="U213">
        <v>560</v>
      </c>
      <c r="V213">
        <v>200</v>
      </c>
      <c r="W213">
        <v>350.38571428571402</v>
      </c>
      <c r="X213">
        <v>431.29661732123498</v>
      </c>
      <c r="Y213" s="20" t="s">
        <v>76</v>
      </c>
      <c r="Z213">
        <v>11200</v>
      </c>
      <c r="AA213">
        <v>3200</v>
      </c>
      <c r="AB213">
        <v>14400</v>
      </c>
      <c r="AC213">
        <v>371.63826288858797</v>
      </c>
      <c r="AD213">
        <v>24.481196824321501</v>
      </c>
      <c r="AE213">
        <v>102.09924071762001</v>
      </c>
      <c r="AF213">
        <v>130.89735968524499</v>
      </c>
      <c r="AG213">
        <v>53.370592828474898</v>
      </c>
      <c r="AH213">
        <v>351.54920977137903</v>
      </c>
      <c r="AI213">
        <v>84.551602925047604</v>
      </c>
      <c r="AJ213">
        <v>67.526471016939297</v>
      </c>
      <c r="AK213">
        <v>56.072459210923597</v>
      </c>
      <c r="AL213" s="20">
        <v>157.442924749849</v>
      </c>
      <c r="AM213" s="20">
        <v>131.43478409865801</v>
      </c>
      <c r="AN213" s="20" t="s">
        <v>58</v>
      </c>
    </row>
    <row r="214" spans="1:40" x14ac:dyDescent="0.25">
      <c r="A214" s="20">
        <v>212</v>
      </c>
      <c r="B214" s="20" t="s">
        <v>279</v>
      </c>
      <c r="C214" s="20" t="s">
        <v>61</v>
      </c>
      <c r="D214">
        <v>1</v>
      </c>
      <c r="E214" s="20" t="str">
        <f t="shared" si="3"/>
        <v>HAYE</v>
      </c>
      <c r="F214" s="20">
        <v>-35.8765</v>
      </c>
      <c r="G214" s="20">
        <v>-72.774600000000007</v>
      </c>
      <c r="H214" s="20">
        <v>33.7639</v>
      </c>
      <c r="I214" s="20">
        <v>8.77</v>
      </c>
      <c r="J214" s="20">
        <v>17.5</v>
      </c>
      <c r="K214" s="20">
        <v>18</v>
      </c>
      <c r="L214" s="20">
        <v>109.72943980625701</v>
      </c>
      <c r="M214" s="20">
        <v>-0.22796994374947399</v>
      </c>
      <c r="N214" s="20">
        <v>18</v>
      </c>
      <c r="O214" s="20">
        <v>10</v>
      </c>
      <c r="P214" s="20">
        <v>30</v>
      </c>
      <c r="Q214" s="20">
        <v>20</v>
      </c>
      <c r="R214">
        <v>540</v>
      </c>
      <c r="S214">
        <v>200</v>
      </c>
      <c r="T214">
        <v>386.98335394444399</v>
      </c>
      <c r="U214">
        <v>450</v>
      </c>
      <c r="V214">
        <v>200</v>
      </c>
      <c r="W214">
        <v>464.38002473333302</v>
      </c>
      <c r="X214">
        <v>378.11908832436001</v>
      </c>
      <c r="Y214" s="20" t="s">
        <v>64</v>
      </c>
      <c r="Z214">
        <v>24000</v>
      </c>
      <c r="AA214">
        <v>11400</v>
      </c>
      <c r="AB214">
        <v>35400</v>
      </c>
      <c r="AC214">
        <v>18.0277563773199</v>
      </c>
      <c r="AD214">
        <v>18.0277563773199</v>
      </c>
      <c r="AE214">
        <v>18.0277563773199</v>
      </c>
      <c r="AF214">
        <v>257.92437509085897</v>
      </c>
      <c r="AG214">
        <v>154.92195666523301</v>
      </c>
      <c r="AH214">
        <v>92.455637001372807</v>
      </c>
      <c r="AI214">
        <v>58.130191915284797</v>
      </c>
      <c r="AJ214">
        <v>60.990294198720598</v>
      </c>
      <c r="AK214">
        <v>39.968345234543001</v>
      </c>
      <c r="AL214" s="20">
        <v>25.793326762168601</v>
      </c>
      <c r="AM214" s="20">
        <v>51.871294559226101</v>
      </c>
      <c r="AN214" s="20" t="s">
        <v>58</v>
      </c>
    </row>
    <row r="215" spans="1:40" x14ac:dyDescent="0.25">
      <c r="A215" s="20">
        <v>213</v>
      </c>
      <c r="B215" s="20" t="s">
        <v>280</v>
      </c>
      <c r="C215" s="20" t="s">
        <v>61</v>
      </c>
      <c r="D215">
        <v>1</v>
      </c>
      <c r="E215" s="20" t="str">
        <f t="shared" si="3"/>
        <v>LUTT</v>
      </c>
      <c r="F215" s="20">
        <v>-36</v>
      </c>
      <c r="G215" s="20">
        <v>-73</v>
      </c>
      <c r="H215" s="20">
        <v>20.3354204524388</v>
      </c>
      <c r="I215" s="20">
        <v>8.8000000000000007</v>
      </c>
      <c r="J215" s="20">
        <v>16.8000000000001</v>
      </c>
      <c r="K215" s="20">
        <v>15</v>
      </c>
      <c r="L215" s="20">
        <v>180</v>
      </c>
      <c r="M215" s="20">
        <v>0</v>
      </c>
      <c r="N215" s="20">
        <v>34</v>
      </c>
      <c r="O215" s="20">
        <v>13</v>
      </c>
      <c r="P215" s="20">
        <v>20</v>
      </c>
      <c r="Q215" s="20">
        <v>19.7</v>
      </c>
      <c r="R215">
        <v>680</v>
      </c>
      <c r="S215">
        <v>256.10000000000002</v>
      </c>
      <c r="T215">
        <v>268.67642443438899</v>
      </c>
      <c r="U215">
        <v>520</v>
      </c>
      <c r="V215">
        <v>177.3</v>
      </c>
      <c r="W215">
        <v>507.49991282051298</v>
      </c>
      <c r="X215">
        <v>437.95409944011499</v>
      </c>
      <c r="Y215" s="20" t="s">
        <v>110</v>
      </c>
      <c r="Z215">
        <v>23640</v>
      </c>
      <c r="AA215">
        <v>3940</v>
      </c>
      <c r="AB215">
        <v>27580</v>
      </c>
      <c r="AC215">
        <v>405.274674655762</v>
      </c>
      <c r="AD215">
        <v>4.1922076122350598</v>
      </c>
      <c r="AE215">
        <v>104.186142447118</v>
      </c>
      <c r="AF215">
        <v>267.42298018579999</v>
      </c>
      <c r="AG215">
        <v>141.012169209311</v>
      </c>
      <c r="AH215">
        <v>65.474697608061703</v>
      </c>
      <c r="AI215">
        <v>47.006728493989797</v>
      </c>
      <c r="AJ215">
        <v>44.351531690167697</v>
      </c>
      <c r="AK215">
        <v>40.706642775457802</v>
      </c>
      <c r="AL215" s="20">
        <v>158.228604736536</v>
      </c>
      <c r="AM215" s="20">
        <v>109.097931207968</v>
      </c>
      <c r="AN215" s="20" t="s">
        <v>58</v>
      </c>
    </row>
    <row r="216" spans="1:40" x14ac:dyDescent="0.25">
      <c r="A216" s="20">
        <v>214</v>
      </c>
      <c r="B216" s="20" t="s">
        <v>281</v>
      </c>
      <c r="C216" s="20" t="s">
        <v>61</v>
      </c>
      <c r="D216">
        <v>1</v>
      </c>
      <c r="E216" s="20" t="str">
        <f t="shared" si="3"/>
        <v>POLL</v>
      </c>
      <c r="F216" s="20">
        <v>-35.917000000000002</v>
      </c>
      <c r="G216" s="20">
        <v>-72.885999999999996</v>
      </c>
      <c r="H216" s="20">
        <v>20.12</v>
      </c>
      <c r="I216" s="20">
        <v>8.8000000000000007</v>
      </c>
      <c r="J216" s="20">
        <v>17</v>
      </c>
      <c r="K216" s="20">
        <v>18</v>
      </c>
      <c r="L216" s="20">
        <v>90</v>
      </c>
      <c r="M216" s="20">
        <v>0</v>
      </c>
      <c r="N216" s="20">
        <v>126</v>
      </c>
      <c r="O216" s="20">
        <v>42</v>
      </c>
      <c r="P216" s="20">
        <v>5.1587300000000003</v>
      </c>
      <c r="Q216" s="20">
        <v>4.2857139999999996</v>
      </c>
      <c r="R216">
        <v>650</v>
      </c>
      <c r="S216">
        <v>180</v>
      </c>
      <c r="T216">
        <v>399.53344671201802</v>
      </c>
      <c r="U216">
        <v>510.71427</v>
      </c>
      <c r="V216">
        <v>132.857134</v>
      </c>
      <c r="W216">
        <v>688.93157380254195</v>
      </c>
      <c r="X216">
        <v>450.72083279519399</v>
      </c>
      <c r="Y216" s="20" t="s">
        <v>110</v>
      </c>
      <c r="Z216">
        <v>20671.766693310699</v>
      </c>
      <c r="AA216">
        <v>5195.5777250566998</v>
      </c>
      <c r="AB216">
        <v>25867.3444183674</v>
      </c>
      <c r="AC216">
        <v>165.54154555614801</v>
      </c>
      <c r="AD216">
        <v>25.594755719061599</v>
      </c>
      <c r="AE216">
        <v>64.594668202143396</v>
      </c>
      <c r="AF216">
        <v>649.99999999999795</v>
      </c>
      <c r="AG216">
        <v>179.99999999999</v>
      </c>
      <c r="AH216">
        <v>76.457222851045898</v>
      </c>
      <c r="AI216">
        <v>64.005788597939798</v>
      </c>
      <c r="AJ216">
        <v>14.5232453681749</v>
      </c>
      <c r="AK216">
        <v>12.1199515544647</v>
      </c>
      <c r="AL216" s="20">
        <v>123.784538387982</v>
      </c>
      <c r="AM216" s="20">
        <v>54.6756469919371</v>
      </c>
      <c r="AN216" s="20" t="s">
        <v>58</v>
      </c>
    </row>
    <row r="217" spans="1:40" x14ac:dyDescent="0.25">
      <c r="A217" s="20">
        <v>215</v>
      </c>
      <c r="B217" s="20" t="s">
        <v>282</v>
      </c>
      <c r="C217" s="20" t="s">
        <v>61</v>
      </c>
      <c r="D217">
        <v>1</v>
      </c>
      <c r="E217" s="20" t="str">
        <f t="shared" si="3"/>
        <v>SHAO</v>
      </c>
      <c r="F217" s="20">
        <v>-35.85</v>
      </c>
      <c r="G217" s="20">
        <v>-72.72</v>
      </c>
      <c r="H217" s="20">
        <v>37</v>
      </c>
      <c r="I217" s="20">
        <v>8.9</v>
      </c>
      <c r="J217" s="20">
        <v>17.5</v>
      </c>
      <c r="K217" s="20">
        <v>18</v>
      </c>
      <c r="L217" s="20">
        <v>113.179760291021</v>
      </c>
      <c r="M217" s="20">
        <v>2.8536555478129499</v>
      </c>
      <c r="N217" s="20">
        <v>20</v>
      </c>
      <c r="O217" s="20">
        <v>11</v>
      </c>
      <c r="P217" s="20">
        <v>30</v>
      </c>
      <c r="Q217" s="20">
        <v>17</v>
      </c>
      <c r="R217">
        <v>600</v>
      </c>
      <c r="S217">
        <v>187</v>
      </c>
      <c r="T217">
        <v>405.47979509090902</v>
      </c>
      <c r="U217">
        <v>450</v>
      </c>
      <c r="V217">
        <v>187</v>
      </c>
      <c r="W217">
        <v>540.639726787879</v>
      </c>
      <c r="X217">
        <v>318.87842268282998</v>
      </c>
      <c r="Y217" s="20" t="s">
        <v>64</v>
      </c>
      <c r="Z217">
        <v>35190</v>
      </c>
      <c r="AA217">
        <v>12240</v>
      </c>
      <c r="AB217">
        <v>47430</v>
      </c>
      <c r="AC217">
        <v>45.795742160161602</v>
      </c>
      <c r="AD217">
        <v>17.240939649566702</v>
      </c>
      <c r="AE217">
        <v>17.240939649566702</v>
      </c>
      <c r="AF217">
        <v>379.70248118770797</v>
      </c>
      <c r="AG217">
        <v>186.99999840109299</v>
      </c>
      <c r="AH217">
        <v>90.832151298644803</v>
      </c>
      <c r="AI217">
        <v>54.676428594253103</v>
      </c>
      <c r="AJ217">
        <v>63.299249183018198</v>
      </c>
      <c r="AK217">
        <v>36.245024012647903</v>
      </c>
      <c r="AL217" s="20">
        <v>59.936946669312398</v>
      </c>
      <c r="AM217" s="20">
        <v>39.157003435017799</v>
      </c>
      <c r="AN217" s="20" t="s">
        <v>58</v>
      </c>
    </row>
    <row r="218" spans="1:40" x14ac:dyDescent="0.25">
      <c r="A218" s="20">
        <v>216</v>
      </c>
      <c r="B218" s="20" t="s">
        <v>283</v>
      </c>
      <c r="C218" s="20" t="s">
        <v>61</v>
      </c>
      <c r="D218">
        <v>1</v>
      </c>
      <c r="E218" s="20" t="str">
        <f t="shared" si="3"/>
        <v>SLAD</v>
      </c>
      <c r="F218" s="20">
        <v>-35.845999999999997</v>
      </c>
      <c r="G218" s="20">
        <v>-72.718999999999994</v>
      </c>
      <c r="H218" s="20">
        <v>35</v>
      </c>
      <c r="I218" s="20">
        <v>8.76</v>
      </c>
      <c r="J218" s="20">
        <v>18</v>
      </c>
      <c r="K218" s="20">
        <v>18</v>
      </c>
      <c r="L218" s="20">
        <v>108.594829045756</v>
      </c>
      <c r="M218" s="20">
        <v>9.7636000000000003</v>
      </c>
      <c r="N218" s="20">
        <v>19</v>
      </c>
      <c r="O218" s="20">
        <v>12</v>
      </c>
      <c r="P218" s="20">
        <v>30</v>
      </c>
      <c r="Q218" s="20">
        <v>15</v>
      </c>
      <c r="R218">
        <v>570</v>
      </c>
      <c r="S218">
        <v>180</v>
      </c>
      <c r="T218">
        <v>229.27631578947401</v>
      </c>
      <c r="U218">
        <v>540</v>
      </c>
      <c r="V218">
        <v>180</v>
      </c>
      <c r="W218">
        <v>242.013888888889</v>
      </c>
      <c r="X218">
        <v>162.304585109784</v>
      </c>
      <c r="Y218" s="20" t="s">
        <v>76</v>
      </c>
      <c r="Z218">
        <v>28350</v>
      </c>
      <c r="AA218">
        <v>3150</v>
      </c>
      <c r="AB218">
        <v>31500</v>
      </c>
      <c r="AC218">
        <v>177.00635581808899</v>
      </c>
      <c r="AD218">
        <v>16.7705098312484</v>
      </c>
      <c r="AE218">
        <v>135.20817282990001</v>
      </c>
      <c r="AF218">
        <v>196.963912556792</v>
      </c>
      <c r="AG218">
        <v>118.78009418380699</v>
      </c>
      <c r="AH218">
        <v>117.656915055564</v>
      </c>
      <c r="AI218">
        <v>68.101553951633704</v>
      </c>
      <c r="AJ218">
        <v>58.641807092946003</v>
      </c>
      <c r="AK218">
        <v>29.953414495118999</v>
      </c>
      <c r="AL218" s="20">
        <v>160.19754375426601</v>
      </c>
      <c r="AM218" s="20">
        <v>158.49310908291901</v>
      </c>
      <c r="AN218" s="20" t="s">
        <v>58</v>
      </c>
    </row>
    <row r="219" spans="1:40" x14ac:dyDescent="0.25">
      <c r="A219" s="20">
        <v>217</v>
      </c>
      <c r="B219" s="20" t="s">
        <v>284</v>
      </c>
      <c r="C219" s="20" t="s">
        <v>61</v>
      </c>
      <c r="D219">
        <v>1</v>
      </c>
      <c r="E219" s="20" t="str">
        <f t="shared" si="3"/>
        <v>HAYE</v>
      </c>
      <c r="F219" s="20">
        <v>2.36</v>
      </c>
      <c r="G219" s="20">
        <v>97.132000000000005</v>
      </c>
      <c r="H219" s="20">
        <v>31</v>
      </c>
      <c r="I219" s="20">
        <v>7.81</v>
      </c>
      <c r="J219" s="20">
        <v>312.7</v>
      </c>
      <c r="K219" s="20">
        <v>12.04</v>
      </c>
      <c r="L219" s="20">
        <v>90.094497313278495</v>
      </c>
      <c r="M219" s="20">
        <v>9.7200000000000006</v>
      </c>
      <c r="N219" s="20">
        <v>20</v>
      </c>
      <c r="O219" s="20">
        <v>18</v>
      </c>
      <c r="P219" s="20">
        <v>12</v>
      </c>
      <c r="Q219" s="20">
        <v>12</v>
      </c>
      <c r="R219" s="25">
        <v>240</v>
      </c>
      <c r="S219" s="25">
        <v>216</v>
      </c>
      <c r="T219" s="25">
        <v>22.3495555555556</v>
      </c>
      <c r="U219" s="25">
        <v>144</v>
      </c>
      <c r="V219" s="25">
        <v>156</v>
      </c>
      <c r="W219" s="25">
        <v>51.575897435897403</v>
      </c>
      <c r="X219" s="25">
        <v>83.609996949463905</v>
      </c>
      <c r="Y219" s="20" t="s">
        <v>102</v>
      </c>
      <c r="Z219" s="25">
        <v>2160</v>
      </c>
      <c r="AA219" s="25">
        <v>720</v>
      </c>
      <c r="AB219" s="25">
        <v>2880</v>
      </c>
      <c r="AC219" s="25">
        <v>30.5941170815567</v>
      </c>
      <c r="AD219" s="25">
        <v>8.4852813742385695</v>
      </c>
      <c r="AE219" s="25">
        <v>8.4852813742385695</v>
      </c>
      <c r="AF219" s="25">
        <v>39.296331492581999</v>
      </c>
      <c r="AG219" s="25">
        <v>41.075553010362299</v>
      </c>
      <c r="AH219" s="25">
        <v>22.971681628058601</v>
      </c>
      <c r="AI219" s="25">
        <v>23.595789577417701</v>
      </c>
      <c r="AJ219" s="25">
        <v>20.5713269806594</v>
      </c>
      <c r="AK219" s="25">
        <v>21.249695885996999</v>
      </c>
      <c r="AL219" s="20">
        <v>7.3417616469073703</v>
      </c>
      <c r="AM219" s="20">
        <v>21.806437956254999</v>
      </c>
      <c r="AN219" s="20" t="s">
        <v>58</v>
      </c>
    </row>
    <row r="220" spans="1:40" x14ac:dyDescent="0.25">
      <c r="A220" s="20">
        <v>218</v>
      </c>
      <c r="B220" s="20" t="s">
        <v>285</v>
      </c>
      <c r="C220" s="20" t="s">
        <v>61</v>
      </c>
      <c r="D220">
        <v>0</v>
      </c>
      <c r="E220" s="20" t="str">
        <f t="shared" si="3"/>
        <v>HAYE</v>
      </c>
      <c r="F220" s="20">
        <v>3.75</v>
      </c>
      <c r="G220" s="20">
        <v>96.02</v>
      </c>
      <c r="H220" s="20">
        <v>38</v>
      </c>
      <c r="I220" s="20">
        <v>7.24</v>
      </c>
      <c r="J220" s="20">
        <v>304</v>
      </c>
      <c r="K220" s="20">
        <v>18</v>
      </c>
      <c r="L220" s="20">
        <v>86.608753283032698</v>
      </c>
      <c r="M220" s="20">
        <v>28.26</v>
      </c>
      <c r="N220" s="20">
        <v>19</v>
      </c>
      <c r="O220" s="20">
        <v>15</v>
      </c>
      <c r="P220" s="20">
        <v>5</v>
      </c>
      <c r="Q220" s="20">
        <v>4.2</v>
      </c>
      <c r="R220" s="25">
        <v>95</v>
      </c>
      <c r="S220" s="25">
        <v>63</v>
      </c>
      <c r="T220" s="25">
        <v>23.512421052631598</v>
      </c>
      <c r="U220" s="25">
        <v>65</v>
      </c>
      <c r="V220" s="25">
        <v>46.2</v>
      </c>
      <c r="W220" s="25">
        <v>46.860419580419602</v>
      </c>
      <c r="X220" s="25">
        <v>53.308277186546299</v>
      </c>
      <c r="Y220" s="20" t="s">
        <v>102</v>
      </c>
      <c r="Z220" s="25">
        <v>630</v>
      </c>
      <c r="AA220" s="25">
        <v>336</v>
      </c>
      <c r="AB220" s="25">
        <v>966</v>
      </c>
      <c r="AC220" s="25">
        <v>6.7779052811322202</v>
      </c>
      <c r="AD220" s="25">
        <v>3.2649655434629001</v>
      </c>
      <c r="AE220" s="25">
        <v>6.7779052811322202</v>
      </c>
      <c r="AF220" s="25">
        <v>36.090377750087598</v>
      </c>
      <c r="AG220" s="25">
        <v>25.2085651157123</v>
      </c>
      <c r="AH220" s="25">
        <v>11.473040129456701</v>
      </c>
      <c r="AI220" s="25">
        <v>8.7196267308005009</v>
      </c>
      <c r="AJ220" s="25">
        <v>10.1077002873462</v>
      </c>
      <c r="AK220" s="25">
        <v>8.3168629746152192</v>
      </c>
      <c r="AL220" s="20">
        <v>8.8279992710693005</v>
      </c>
      <c r="AM220" s="20">
        <v>6.3357933496918903</v>
      </c>
      <c r="AN220" s="20" t="s">
        <v>58</v>
      </c>
    </row>
    <row r="221" spans="1:40" x14ac:dyDescent="0.25">
      <c r="A221" s="20">
        <v>219</v>
      </c>
      <c r="B221" s="20" t="s">
        <v>286</v>
      </c>
      <c r="C221" s="20" t="s">
        <v>61</v>
      </c>
      <c r="D221">
        <v>1</v>
      </c>
      <c r="E221" s="20" t="str">
        <f t="shared" si="3"/>
        <v>HAYE</v>
      </c>
      <c r="F221" s="20">
        <v>-3.464</v>
      </c>
      <c r="G221" s="20">
        <v>100.084</v>
      </c>
      <c r="H221" s="20">
        <v>15</v>
      </c>
      <c r="I221" s="20">
        <v>7.76</v>
      </c>
      <c r="J221" s="20">
        <v>325</v>
      </c>
      <c r="K221" s="20">
        <v>11.62</v>
      </c>
      <c r="L221" s="20">
        <v>101.833365300069</v>
      </c>
      <c r="M221" s="20">
        <v>5.93</v>
      </c>
      <c r="N221" s="20">
        <v>15</v>
      </c>
      <c r="O221" s="20">
        <v>14</v>
      </c>
      <c r="P221" s="20">
        <v>15</v>
      </c>
      <c r="Q221" s="20">
        <v>10</v>
      </c>
      <c r="R221" s="25">
        <v>225</v>
      </c>
      <c r="S221" s="25">
        <v>140</v>
      </c>
      <c r="T221" s="25">
        <v>38.957571428571399</v>
      </c>
      <c r="U221" s="25">
        <v>210</v>
      </c>
      <c r="V221" s="25">
        <v>140</v>
      </c>
      <c r="W221" s="25">
        <v>41.740255102040798</v>
      </c>
      <c r="X221" s="25">
        <v>40.409197032165601</v>
      </c>
      <c r="Y221" s="20" t="s">
        <v>102</v>
      </c>
      <c r="Z221" s="25">
        <v>5700</v>
      </c>
      <c r="AA221" s="25">
        <v>1800</v>
      </c>
      <c r="AB221" s="25">
        <v>7500</v>
      </c>
      <c r="AC221" s="25">
        <v>27.041634565979901</v>
      </c>
      <c r="AD221" s="25">
        <v>9.0138781886599695</v>
      </c>
      <c r="AE221" s="25">
        <v>9.0138781886599695</v>
      </c>
      <c r="AF221" s="25">
        <v>88.617421314292997</v>
      </c>
      <c r="AG221" s="25">
        <v>56.562339083909599</v>
      </c>
      <c r="AH221" s="25">
        <v>77.711899851830495</v>
      </c>
      <c r="AI221" s="25">
        <v>49.771423477057198</v>
      </c>
      <c r="AJ221" s="25">
        <v>28.293584798734798</v>
      </c>
      <c r="AK221" s="25">
        <v>19.239893168449399</v>
      </c>
      <c r="AL221" s="20">
        <v>32.928906514489697</v>
      </c>
      <c r="AM221" s="20">
        <v>27.457418464597101</v>
      </c>
      <c r="AN221" s="20" t="s">
        <v>58</v>
      </c>
    </row>
    <row r="222" spans="1:40" x14ac:dyDescent="0.25">
      <c r="A222" s="20">
        <v>220</v>
      </c>
      <c r="B222" s="20" t="s">
        <v>287</v>
      </c>
      <c r="C222" s="20" t="s">
        <v>56</v>
      </c>
      <c r="D222">
        <v>1</v>
      </c>
      <c r="E222" s="20" t="str">
        <f t="shared" si="3"/>
        <v>HAYE</v>
      </c>
      <c r="F222" s="20">
        <v>-17.54</v>
      </c>
      <c r="G222" s="20">
        <v>168.07</v>
      </c>
      <c r="H222" s="20">
        <v>25</v>
      </c>
      <c r="I222" s="20">
        <v>7.26</v>
      </c>
      <c r="J222" s="20">
        <v>345</v>
      </c>
      <c r="K222" s="20">
        <v>33</v>
      </c>
      <c r="L222" s="20">
        <v>121.50623252344199</v>
      </c>
      <c r="M222" s="20">
        <v>4.57</v>
      </c>
      <c r="N222" s="20">
        <v>16</v>
      </c>
      <c r="O222" s="20">
        <v>15</v>
      </c>
      <c r="P222" s="20">
        <v>5</v>
      </c>
      <c r="Q222" s="20">
        <v>5</v>
      </c>
      <c r="R222" s="25">
        <v>80</v>
      </c>
      <c r="S222" s="25">
        <v>75</v>
      </c>
      <c r="T222" s="25">
        <v>25.543708333333299</v>
      </c>
      <c r="U222" s="25">
        <v>50</v>
      </c>
      <c r="V222" s="25">
        <v>50</v>
      </c>
      <c r="W222" s="25">
        <v>61.304900000000004</v>
      </c>
      <c r="X222" s="25">
        <v>78.018549204349299</v>
      </c>
      <c r="Y222" s="20" t="s">
        <v>102</v>
      </c>
      <c r="Z222" s="29">
        <v>350</v>
      </c>
      <c r="AA222" s="25">
        <v>375</v>
      </c>
      <c r="AB222" s="25">
        <v>725</v>
      </c>
      <c r="AC222" s="25">
        <v>22.638462845343501</v>
      </c>
      <c r="AD222" s="25">
        <v>3.53553390593274</v>
      </c>
      <c r="AE222" s="25">
        <v>3.53553390593274</v>
      </c>
      <c r="AF222" s="25">
        <v>29.969103627709</v>
      </c>
      <c r="AG222" s="25">
        <v>19.0220236281558</v>
      </c>
      <c r="AH222" s="25">
        <v>10.1485385233497</v>
      </c>
      <c r="AI222" s="25">
        <v>7.8952894006711798</v>
      </c>
      <c r="AJ222" s="25">
        <v>9.8883805805784899</v>
      </c>
      <c r="AK222" s="25">
        <v>9.0993487032206097</v>
      </c>
      <c r="AL222" s="20">
        <v>9.0668780145097401</v>
      </c>
      <c r="AM222" s="20">
        <v>7.5302758010580204</v>
      </c>
      <c r="AN222" s="20" t="s">
        <v>58</v>
      </c>
    </row>
    <row r="223" spans="1:40" x14ac:dyDescent="0.25">
      <c r="A223" s="20">
        <v>221</v>
      </c>
      <c r="B223" s="20" t="s">
        <v>288</v>
      </c>
      <c r="C223" s="20" t="s">
        <v>80</v>
      </c>
      <c r="D223">
        <v>1</v>
      </c>
      <c r="E223" s="20" t="str">
        <f t="shared" si="3"/>
        <v>HAYE</v>
      </c>
      <c r="F223" s="20">
        <v>-19.7</v>
      </c>
      <c r="G223" s="20">
        <v>167.94</v>
      </c>
      <c r="H223" s="20">
        <v>16</v>
      </c>
      <c r="I223" s="20">
        <v>7.29</v>
      </c>
      <c r="J223" s="20">
        <v>150</v>
      </c>
      <c r="K223" s="20">
        <v>49</v>
      </c>
      <c r="L223" s="20">
        <v>-115.52643846337099</v>
      </c>
      <c r="M223" s="20">
        <v>3.09</v>
      </c>
      <c r="N223" s="20">
        <v>23</v>
      </c>
      <c r="O223" s="20">
        <v>12</v>
      </c>
      <c r="P223" s="20">
        <v>5</v>
      </c>
      <c r="Q223" s="20">
        <v>3.8</v>
      </c>
      <c r="R223" s="25">
        <v>115</v>
      </c>
      <c r="S223" s="25">
        <v>45.6</v>
      </c>
      <c r="T223" s="25">
        <v>39.225000000000001</v>
      </c>
      <c r="U223" s="25">
        <v>60</v>
      </c>
      <c r="V223" s="25">
        <v>34.200000000000003</v>
      </c>
      <c r="W223" s="25">
        <v>100.241666666667</v>
      </c>
      <c r="X223" s="25">
        <v>141.97565676816501</v>
      </c>
      <c r="Y223" s="20" t="s">
        <v>102</v>
      </c>
      <c r="Z223" s="29">
        <v>152</v>
      </c>
      <c r="AA223" s="25">
        <v>114</v>
      </c>
      <c r="AB223" s="25">
        <v>266</v>
      </c>
      <c r="AC223" s="25">
        <v>7.7369244535538799</v>
      </c>
      <c r="AD223" s="25">
        <v>3.1400636936215198</v>
      </c>
      <c r="AE223" s="25">
        <v>3.1400636936215198</v>
      </c>
      <c r="AF223" s="25">
        <v>26.2491556792971</v>
      </c>
      <c r="AG223" s="25">
        <v>10.041523555050601</v>
      </c>
      <c r="AH223" s="25">
        <v>9.28616860578237</v>
      </c>
      <c r="AI223" s="25">
        <v>4.8703281071227096</v>
      </c>
      <c r="AJ223" s="25">
        <v>9.5281252653479704</v>
      </c>
      <c r="AK223" s="25">
        <v>6.6379043475349198</v>
      </c>
      <c r="AL223" s="20">
        <v>8.5646993017852004</v>
      </c>
      <c r="AM223" s="20">
        <v>8.3772173261769893</v>
      </c>
      <c r="AN223" s="20" t="s">
        <v>58</v>
      </c>
    </row>
    <row r="224" spans="1:40" x14ac:dyDescent="0.25">
      <c r="A224" s="20">
        <v>222</v>
      </c>
      <c r="B224" s="20" t="s">
        <v>289</v>
      </c>
      <c r="C224" s="20" t="s">
        <v>61</v>
      </c>
      <c r="D224">
        <v>1</v>
      </c>
      <c r="E224" s="20" t="str">
        <f t="shared" si="3"/>
        <v>SHAO</v>
      </c>
      <c r="F224" s="20">
        <v>38.1</v>
      </c>
      <c r="G224" s="20">
        <v>142.86000000000001</v>
      </c>
      <c r="H224" s="20">
        <v>23</v>
      </c>
      <c r="I224" s="20">
        <v>9.1</v>
      </c>
      <c r="J224" s="20">
        <v>198</v>
      </c>
      <c r="K224" s="20">
        <v>10</v>
      </c>
      <c r="L224" s="20">
        <v>67.775417604601699</v>
      </c>
      <c r="M224" s="20">
        <v>7.3716182233307004</v>
      </c>
      <c r="N224" s="20">
        <v>19</v>
      </c>
      <c r="O224" s="20">
        <v>10</v>
      </c>
      <c r="P224" s="20">
        <v>25</v>
      </c>
      <c r="Q224" s="20">
        <v>20</v>
      </c>
      <c r="R224">
        <v>475</v>
      </c>
      <c r="S224">
        <v>200</v>
      </c>
      <c r="T224">
        <v>1254.30585878947</v>
      </c>
      <c r="U224">
        <v>325</v>
      </c>
      <c r="V224">
        <v>180</v>
      </c>
      <c r="W224">
        <v>2036.90695017094</v>
      </c>
      <c r="X224">
        <v>1820.0647246083399</v>
      </c>
      <c r="Y224" s="20" t="s">
        <v>102</v>
      </c>
      <c r="Z224">
        <v>13500</v>
      </c>
      <c r="AA224">
        <v>8000</v>
      </c>
      <c r="AB224">
        <v>21500</v>
      </c>
      <c r="AC224">
        <v>132.5</v>
      </c>
      <c r="AD224">
        <v>16.0078105935821</v>
      </c>
      <c r="AE224">
        <v>16.0078105935821</v>
      </c>
      <c r="AF224">
        <v>345.88293029599402</v>
      </c>
      <c r="AG224">
        <v>134.601278296327</v>
      </c>
      <c r="AH224">
        <v>74.550652521780094</v>
      </c>
      <c r="AI224">
        <v>43.394067125044003</v>
      </c>
      <c r="AJ224">
        <v>53.256368554775399</v>
      </c>
      <c r="AK224">
        <v>40.803172008737498</v>
      </c>
      <c r="AL224" s="20">
        <v>47.391412352239499</v>
      </c>
      <c r="AM224" s="20">
        <v>40.794001620949103</v>
      </c>
      <c r="AN224" s="20" t="s">
        <v>58</v>
      </c>
    </row>
    <row r="225" spans="1:40" x14ac:dyDescent="0.25">
      <c r="A225" s="20">
        <v>223</v>
      </c>
      <c r="B225" s="20" t="s">
        <v>290</v>
      </c>
      <c r="C225" s="20" t="s">
        <v>61</v>
      </c>
      <c r="D225">
        <v>1</v>
      </c>
      <c r="E225" s="20" t="str">
        <f t="shared" si="3"/>
        <v>KUBO</v>
      </c>
      <c r="F225" s="20">
        <v>36.120800000000003</v>
      </c>
      <c r="G225" s="20">
        <v>141.2525</v>
      </c>
      <c r="H225" s="20">
        <v>25</v>
      </c>
      <c r="I225" s="20">
        <v>7.86</v>
      </c>
      <c r="J225" s="20">
        <v>206</v>
      </c>
      <c r="K225" s="20">
        <v>10</v>
      </c>
      <c r="L225" s="20">
        <v>90</v>
      </c>
      <c r="M225" s="20">
        <v>13.71</v>
      </c>
      <c r="N225" s="20">
        <v>12</v>
      </c>
      <c r="O225" s="20">
        <v>12</v>
      </c>
      <c r="P225" s="20">
        <v>10</v>
      </c>
      <c r="Q225" s="20">
        <v>10</v>
      </c>
      <c r="R225">
        <v>120</v>
      </c>
      <c r="S225">
        <v>120</v>
      </c>
      <c r="T225">
        <v>120.62125</v>
      </c>
      <c r="U225">
        <v>120</v>
      </c>
      <c r="V225">
        <v>110</v>
      </c>
      <c r="W225">
        <v>131.58681818181799</v>
      </c>
      <c r="X225">
        <v>131.27902059967201</v>
      </c>
      <c r="Y225" s="20" t="s">
        <v>155</v>
      </c>
      <c r="Z225">
        <v>1600</v>
      </c>
      <c r="AA225">
        <v>600</v>
      </c>
      <c r="AB225">
        <v>2200</v>
      </c>
      <c r="AC225">
        <v>7.0710678118654799</v>
      </c>
      <c r="AD225">
        <v>7.0710678118654799</v>
      </c>
      <c r="AE225">
        <v>15.8113883008419</v>
      </c>
      <c r="AF225">
        <v>46.381136852508199</v>
      </c>
      <c r="AG225">
        <v>27.6877461790192</v>
      </c>
      <c r="AH225">
        <v>42.147666387650098</v>
      </c>
      <c r="AI225">
        <v>25.667373735057701</v>
      </c>
      <c r="AJ225">
        <v>18.6726680990337</v>
      </c>
      <c r="AK225">
        <v>16.421450601721599</v>
      </c>
      <c r="AL225" s="20">
        <v>23.9695343269326</v>
      </c>
      <c r="AM225" s="20">
        <v>23.026409911447299</v>
      </c>
      <c r="AN225" s="20" t="s">
        <v>58</v>
      </c>
    </row>
    <row r="226" spans="1:40" x14ac:dyDescent="0.25">
      <c r="A226" s="20">
        <v>224</v>
      </c>
      <c r="B226" s="20" t="s">
        <v>291</v>
      </c>
      <c r="C226" s="20" t="s">
        <v>80</v>
      </c>
      <c r="D226">
        <v>1</v>
      </c>
      <c r="E226" s="20" t="str">
        <f t="shared" si="3"/>
        <v>HAYE</v>
      </c>
      <c r="F226" s="20">
        <v>-29.296700000000001</v>
      </c>
      <c r="G226" s="20">
        <v>-176.19949</v>
      </c>
      <c r="H226" s="20">
        <v>19.048100000000002</v>
      </c>
      <c r="I226" s="20">
        <v>7.3</v>
      </c>
      <c r="J226" s="20">
        <v>169.64999</v>
      </c>
      <c r="K226" s="20">
        <v>52.489999999999903</v>
      </c>
      <c r="L226" s="20">
        <v>-99.807367458993795</v>
      </c>
      <c r="M226" s="20">
        <v>2.3899587621139302</v>
      </c>
      <c r="N226" s="20">
        <v>27</v>
      </c>
      <c r="O226" s="20">
        <v>12</v>
      </c>
      <c r="P226" s="20">
        <v>8</v>
      </c>
      <c r="Q226" s="20">
        <v>6</v>
      </c>
      <c r="R226">
        <v>216</v>
      </c>
      <c r="S226">
        <v>72</v>
      </c>
      <c r="T226">
        <v>34.255920030864203</v>
      </c>
      <c r="U226">
        <v>104</v>
      </c>
      <c r="V226">
        <v>54</v>
      </c>
      <c r="W226">
        <v>94.862547777777806</v>
      </c>
      <c r="X226">
        <v>110.37571596766399</v>
      </c>
      <c r="Y226" s="20" t="s">
        <v>64</v>
      </c>
      <c r="Z226">
        <v>1200</v>
      </c>
      <c r="AA226">
        <v>192</v>
      </c>
      <c r="AB226">
        <v>1392</v>
      </c>
      <c r="AC226">
        <v>49.244289008980502</v>
      </c>
      <c r="AD226">
        <v>9.8488578017961004</v>
      </c>
      <c r="AE226">
        <v>15.524174696259999</v>
      </c>
      <c r="AF226">
        <v>45.975537207507003</v>
      </c>
      <c r="AG226">
        <v>11.6224373582069</v>
      </c>
      <c r="AH226">
        <v>27.736067043649602</v>
      </c>
      <c r="AI226">
        <v>9.1858105403740602</v>
      </c>
      <c r="AJ226">
        <v>15.6101926031373</v>
      </c>
      <c r="AK226">
        <v>9.8468206226384201</v>
      </c>
      <c r="AL226" s="20">
        <v>18.374839794947899</v>
      </c>
      <c r="AM226" s="20">
        <v>31.299454488057801</v>
      </c>
      <c r="AN226" s="20" t="s">
        <v>58</v>
      </c>
    </row>
    <row r="227" spans="1:40" x14ac:dyDescent="0.25">
      <c r="A227" s="20">
        <v>225</v>
      </c>
      <c r="B227" s="20" t="s">
        <v>292</v>
      </c>
      <c r="C227" s="20" t="s">
        <v>61</v>
      </c>
      <c r="D227">
        <v>1</v>
      </c>
      <c r="E227" s="20" t="str">
        <f t="shared" si="3"/>
        <v>HAYE</v>
      </c>
      <c r="F227" s="20">
        <v>-28.99</v>
      </c>
      <c r="G227" s="20">
        <v>-176.24</v>
      </c>
      <c r="H227" s="20">
        <v>45</v>
      </c>
      <c r="I227" s="20">
        <v>7.37</v>
      </c>
      <c r="J227" s="20">
        <v>206</v>
      </c>
      <c r="K227" s="20">
        <v>40</v>
      </c>
      <c r="L227" s="20">
        <v>85.100181391884703</v>
      </c>
      <c r="M227" s="20">
        <v>28.38</v>
      </c>
      <c r="N227" s="20">
        <v>10</v>
      </c>
      <c r="O227" s="20">
        <v>14</v>
      </c>
      <c r="P227" s="20">
        <v>6</v>
      </c>
      <c r="Q227" s="20">
        <v>4.7</v>
      </c>
      <c r="R227" s="25">
        <v>60</v>
      </c>
      <c r="S227" s="25">
        <v>65.8</v>
      </c>
      <c r="T227" s="25">
        <v>56.669214285714297</v>
      </c>
      <c r="U227" s="25">
        <v>48</v>
      </c>
      <c r="V227" s="25">
        <v>42.3</v>
      </c>
      <c r="W227" s="25">
        <v>110.190138888889</v>
      </c>
      <c r="X227" s="25">
        <v>98.415779304998594</v>
      </c>
      <c r="Y227" s="20" t="s">
        <v>102</v>
      </c>
      <c r="Z227" s="25">
        <v>507.6</v>
      </c>
      <c r="AA227" s="25">
        <v>394.8</v>
      </c>
      <c r="AB227" s="25">
        <v>902.4</v>
      </c>
      <c r="AC227" s="25">
        <v>7.6617556734732801</v>
      </c>
      <c r="AD227" s="25">
        <v>3.8108398024582399</v>
      </c>
      <c r="AE227" s="25">
        <v>3.8108398024582399</v>
      </c>
      <c r="AF227" s="25">
        <v>35.210339007623503</v>
      </c>
      <c r="AG227" s="25">
        <v>27.3989685694124</v>
      </c>
      <c r="AH227" s="25">
        <v>14.041838363134699</v>
      </c>
      <c r="AI227" s="25">
        <v>10.8871579813609</v>
      </c>
      <c r="AJ227" s="25">
        <v>11.8455883926956</v>
      </c>
      <c r="AK227" s="25">
        <v>9.0344692569045506</v>
      </c>
      <c r="AL227" s="20">
        <v>8.1408525352078502</v>
      </c>
      <c r="AM227" s="20">
        <v>7.3597882591824604</v>
      </c>
      <c r="AN227" s="20" t="s">
        <v>58</v>
      </c>
    </row>
    <row r="228" spans="1:40" x14ac:dyDescent="0.25">
      <c r="A228" s="20">
        <v>226</v>
      </c>
      <c r="B228" s="20" t="s">
        <v>293</v>
      </c>
      <c r="C228" s="20" t="s">
        <v>80</v>
      </c>
      <c r="D228">
        <v>1</v>
      </c>
      <c r="E228" s="20" t="str">
        <f t="shared" si="3"/>
        <v>HAYE</v>
      </c>
      <c r="F228" s="20">
        <v>-29.312000000000001</v>
      </c>
      <c r="G228" s="20">
        <v>-176.20400000000001</v>
      </c>
      <c r="H228" s="20">
        <v>20</v>
      </c>
      <c r="I228" s="20">
        <v>7.55</v>
      </c>
      <c r="J228" s="20">
        <v>169.65</v>
      </c>
      <c r="K228" s="20">
        <v>52.49</v>
      </c>
      <c r="L228" s="20">
        <v>-99.807367047121303</v>
      </c>
      <c r="M228" s="20">
        <v>3.34</v>
      </c>
      <c r="N228" s="20">
        <v>27</v>
      </c>
      <c r="O228" s="20">
        <v>12</v>
      </c>
      <c r="P228" s="20">
        <v>8</v>
      </c>
      <c r="Q228" s="20">
        <v>6</v>
      </c>
      <c r="R228" s="25">
        <v>216</v>
      </c>
      <c r="S228" s="25">
        <v>72</v>
      </c>
      <c r="T228" s="25">
        <v>34.2557098765432</v>
      </c>
      <c r="U228" s="25">
        <v>104</v>
      </c>
      <c r="V228" s="25">
        <v>54</v>
      </c>
      <c r="W228" s="25">
        <v>94.861965811965803</v>
      </c>
      <c r="X228" s="25">
        <v>110.375237617295</v>
      </c>
      <c r="Y228" s="20" t="s">
        <v>102</v>
      </c>
      <c r="Z228" s="25">
        <v>1200</v>
      </c>
      <c r="AA228" s="25">
        <v>192</v>
      </c>
      <c r="AB228" s="25">
        <v>1392</v>
      </c>
      <c r="AC228" s="25">
        <v>49.244289008980502</v>
      </c>
      <c r="AD228" s="25">
        <v>9.8488578017961004</v>
      </c>
      <c r="AE228" s="25">
        <v>15.524174696259999</v>
      </c>
      <c r="AF228" s="25">
        <v>45.976158489571901</v>
      </c>
      <c r="AG228" s="25">
        <v>11.622291387603701</v>
      </c>
      <c r="AH228" s="25">
        <v>27.735395669895901</v>
      </c>
      <c r="AI228" s="25">
        <v>9.1855665743564501</v>
      </c>
      <c r="AJ228" s="25">
        <v>15.610245763860201</v>
      </c>
      <c r="AK228" s="25">
        <v>9.8468331057224798</v>
      </c>
      <c r="AL228" s="20">
        <v>18.374839794947899</v>
      </c>
      <c r="AM228" s="20">
        <v>31.299628507220302</v>
      </c>
      <c r="AN228" s="20" t="s">
        <v>58</v>
      </c>
    </row>
    <row r="229" spans="1:40" x14ac:dyDescent="0.25">
      <c r="A229" s="20">
        <v>227</v>
      </c>
      <c r="B229" s="20" t="s">
        <v>294</v>
      </c>
      <c r="C229" s="20" t="s">
        <v>61</v>
      </c>
      <c r="D229">
        <v>1</v>
      </c>
      <c r="E229" s="20" t="str">
        <f t="shared" si="3"/>
        <v>HAYE</v>
      </c>
      <c r="F229" s="20">
        <v>38.448700000000002</v>
      </c>
      <c r="G229" s="20">
        <v>142.85740999999999</v>
      </c>
      <c r="H229" s="20">
        <v>20.721699999999998</v>
      </c>
      <c r="I229" s="20">
        <v>7.3</v>
      </c>
      <c r="J229" s="20">
        <v>193</v>
      </c>
      <c r="K229" s="20">
        <v>12.5</v>
      </c>
      <c r="L229" s="20">
        <v>80.729804331530602</v>
      </c>
      <c r="M229" s="20">
        <v>6.1120217372785399</v>
      </c>
      <c r="N229" s="20">
        <v>14</v>
      </c>
      <c r="O229" s="20">
        <v>14</v>
      </c>
      <c r="P229" s="20">
        <v>9</v>
      </c>
      <c r="Q229" s="20">
        <v>9</v>
      </c>
      <c r="R229" s="25">
        <v>126</v>
      </c>
      <c r="S229" s="25">
        <v>126</v>
      </c>
      <c r="T229" s="25">
        <v>18.552312908163302</v>
      </c>
      <c r="U229" s="25">
        <v>99</v>
      </c>
      <c r="V229" s="25">
        <v>81</v>
      </c>
      <c r="W229" s="25">
        <v>36.729831616161597</v>
      </c>
      <c r="X229" s="25">
        <v>40.809090953033603</v>
      </c>
      <c r="Y229" s="20" t="s">
        <v>64</v>
      </c>
      <c r="Z229" s="25">
        <v>2025</v>
      </c>
      <c r="AA229" s="25">
        <v>486</v>
      </c>
      <c r="AB229" s="25">
        <v>2511</v>
      </c>
      <c r="AC229" s="25">
        <v>22.945587811167499</v>
      </c>
      <c r="AD229" s="25">
        <v>6.3639610306789303</v>
      </c>
      <c r="AE229" s="25">
        <v>14.2302494707577</v>
      </c>
      <c r="AF229" s="25">
        <v>57.070264613766298</v>
      </c>
      <c r="AG229" s="25">
        <v>41.4951944593818</v>
      </c>
      <c r="AH229" s="25">
        <v>19.010707270797599</v>
      </c>
      <c r="AI229" s="25">
        <v>15.744940353848399</v>
      </c>
      <c r="AJ229" s="25">
        <v>18.145056027809002</v>
      </c>
      <c r="AK229" s="25">
        <v>16.557786505853301</v>
      </c>
      <c r="AL229" s="20">
        <v>21.644894914274801</v>
      </c>
      <c r="AM229" s="20">
        <v>6.7007102683223003</v>
      </c>
      <c r="AN229" s="20" t="s">
        <v>58</v>
      </c>
    </row>
    <row r="230" spans="1:40" x14ac:dyDescent="0.25">
      <c r="A230" s="20">
        <v>228</v>
      </c>
      <c r="B230" s="20" t="s">
        <v>295</v>
      </c>
      <c r="C230" s="20" t="s">
        <v>56</v>
      </c>
      <c r="D230">
        <v>0</v>
      </c>
      <c r="E230" s="20" t="str">
        <f t="shared" si="3"/>
        <v>HAYE</v>
      </c>
      <c r="F230" s="20">
        <v>28.845300000000002</v>
      </c>
      <c r="G230" s="20">
        <v>63.933799999999998</v>
      </c>
      <c r="H230" s="20">
        <v>67.312700000000007</v>
      </c>
      <c r="I230" s="20">
        <v>7.2</v>
      </c>
      <c r="J230" s="20">
        <v>73.4699999999998</v>
      </c>
      <c r="K230" s="20">
        <v>31.03</v>
      </c>
      <c r="L230" s="20">
        <v>-55.792592824308798</v>
      </c>
      <c r="M230" s="20">
        <v>47.724226367923301</v>
      </c>
      <c r="N230" s="20">
        <v>12</v>
      </c>
      <c r="O230" s="20">
        <v>15</v>
      </c>
      <c r="P230" s="20">
        <v>5</v>
      </c>
      <c r="Q230" s="20">
        <v>4</v>
      </c>
      <c r="R230">
        <v>60</v>
      </c>
      <c r="S230">
        <v>60</v>
      </c>
      <c r="T230">
        <v>32.900671055555598</v>
      </c>
      <c r="U230">
        <v>40</v>
      </c>
      <c r="V230">
        <v>40</v>
      </c>
      <c r="W230">
        <v>74.026509875000002</v>
      </c>
      <c r="X230">
        <v>92.772992012380399</v>
      </c>
      <c r="Y230" s="20" t="s">
        <v>64</v>
      </c>
      <c r="Z230">
        <v>280</v>
      </c>
      <c r="AA230">
        <v>100</v>
      </c>
      <c r="AB230">
        <v>380</v>
      </c>
      <c r="AC230">
        <v>13.865424623861999</v>
      </c>
      <c r="AD230">
        <v>3.2015621187164198</v>
      </c>
      <c r="AE230">
        <v>3.2015621187164198</v>
      </c>
      <c r="AF230">
        <v>25.218890306433298</v>
      </c>
      <c r="AG230">
        <v>18.670383041030799</v>
      </c>
      <c r="AH230">
        <v>9.2348311546122606</v>
      </c>
      <c r="AI230">
        <v>7.0224542559307697</v>
      </c>
      <c r="AJ230">
        <v>9.7850018092613595</v>
      </c>
      <c r="AK230">
        <v>7.4517978788140198</v>
      </c>
      <c r="AL230" s="20">
        <v>2.1760494112037101</v>
      </c>
      <c r="AM230" s="20">
        <v>3.9109881730836298</v>
      </c>
      <c r="AN230" s="20" t="s">
        <v>58</v>
      </c>
    </row>
    <row r="231" spans="1:40" x14ac:dyDescent="0.25">
      <c r="A231" s="20">
        <v>229</v>
      </c>
      <c r="B231" s="20" t="s">
        <v>296</v>
      </c>
      <c r="C231" s="20" t="s">
        <v>63</v>
      </c>
      <c r="D231">
        <v>0</v>
      </c>
      <c r="E231" s="20" t="str">
        <f t="shared" si="3"/>
        <v>SUNI</v>
      </c>
      <c r="F231" s="20">
        <v>27.8</v>
      </c>
      <c r="G231" s="20">
        <v>88.15</v>
      </c>
      <c r="H231" s="20">
        <v>45</v>
      </c>
      <c r="I231" s="20">
        <v>6.9</v>
      </c>
      <c r="J231" s="20">
        <v>218</v>
      </c>
      <c r="K231" s="20">
        <v>76</v>
      </c>
      <c r="L231" s="20">
        <v>-12.1511207564992</v>
      </c>
      <c r="M231" s="20">
        <v>23.168346158790101</v>
      </c>
      <c r="N231" s="20">
        <v>9</v>
      </c>
      <c r="O231" s="20">
        <v>9</v>
      </c>
      <c r="P231" s="20">
        <v>5</v>
      </c>
      <c r="Q231" s="20">
        <v>5</v>
      </c>
      <c r="R231">
        <v>45</v>
      </c>
      <c r="S231">
        <v>45</v>
      </c>
      <c r="T231">
        <v>38.438518518518499</v>
      </c>
      <c r="U231">
        <v>45</v>
      </c>
      <c r="V231">
        <v>45</v>
      </c>
      <c r="W231">
        <v>38.438518518518499</v>
      </c>
      <c r="X231">
        <v>34.503238656360601</v>
      </c>
      <c r="Y231" s="20" t="s">
        <v>57</v>
      </c>
      <c r="Z231">
        <v>275</v>
      </c>
      <c r="AA231">
        <v>200</v>
      </c>
      <c r="AB231">
        <v>475</v>
      </c>
      <c r="AC231">
        <v>7.9056941504209499</v>
      </c>
      <c r="AD231">
        <v>3.53553390593274</v>
      </c>
      <c r="AE231">
        <v>3.53553390593274</v>
      </c>
      <c r="AF231">
        <v>17.725469257326001</v>
      </c>
      <c r="AG231">
        <v>15.5611291765241</v>
      </c>
      <c r="AH231">
        <v>9.5467676270697694</v>
      </c>
      <c r="AI231">
        <v>8.7458007138353508</v>
      </c>
      <c r="AJ231">
        <v>8.7933114423889798</v>
      </c>
      <c r="AK231">
        <v>8.6639476105104691</v>
      </c>
      <c r="AL231" s="20">
        <v>6.5333453115536502</v>
      </c>
      <c r="AM231" s="20">
        <v>5.7822487606466701</v>
      </c>
      <c r="AN231" s="20" t="s">
        <v>58</v>
      </c>
    </row>
    <row r="232" spans="1:40" x14ac:dyDescent="0.25">
      <c r="A232" s="20">
        <v>230</v>
      </c>
      <c r="B232" s="20" t="s">
        <v>297</v>
      </c>
      <c r="C232" s="20" t="s">
        <v>61</v>
      </c>
      <c r="D232">
        <v>1</v>
      </c>
      <c r="E232" s="20" t="str">
        <f t="shared" si="3"/>
        <v>AMMO</v>
      </c>
      <c r="F232" s="20">
        <v>38.299999999999997</v>
      </c>
      <c r="G232" s="20">
        <v>142.34</v>
      </c>
      <c r="H232" s="20">
        <v>28.039774447884199</v>
      </c>
      <c r="I232" s="20">
        <v>9</v>
      </c>
      <c r="J232" s="20">
        <v>202</v>
      </c>
      <c r="K232" s="20">
        <v>12</v>
      </c>
      <c r="L232" s="20">
        <v>78.499144547752806</v>
      </c>
      <c r="M232" s="20">
        <v>1</v>
      </c>
      <c r="N232" s="20">
        <v>40</v>
      </c>
      <c r="O232" s="20">
        <v>14</v>
      </c>
      <c r="P232" s="20">
        <v>15</v>
      </c>
      <c r="Q232" s="20">
        <v>15</v>
      </c>
      <c r="R232">
        <v>600</v>
      </c>
      <c r="S232">
        <v>210</v>
      </c>
      <c r="T232">
        <v>834.00946428571399</v>
      </c>
      <c r="U232">
        <v>330</v>
      </c>
      <c r="V232">
        <v>180</v>
      </c>
      <c r="W232">
        <v>1769.11098484848</v>
      </c>
      <c r="X232">
        <v>1308.0056164607599</v>
      </c>
      <c r="Y232" s="20" t="s">
        <v>76</v>
      </c>
      <c r="Z232">
        <v>17775</v>
      </c>
      <c r="AA232">
        <v>12825</v>
      </c>
      <c r="AB232">
        <v>30600</v>
      </c>
      <c r="AC232">
        <v>35.243827378225198</v>
      </c>
      <c r="AD232">
        <v>6.7369245659993204</v>
      </c>
      <c r="AE232">
        <v>11.0460646738501</v>
      </c>
      <c r="AF232">
        <v>599.99999995144401</v>
      </c>
      <c r="AG232">
        <v>209.999999800414</v>
      </c>
      <c r="AH232">
        <v>110.779978264208</v>
      </c>
      <c r="AI232">
        <v>82.286525312719107</v>
      </c>
      <c r="AJ232">
        <v>35.888706137686398</v>
      </c>
      <c r="AK232">
        <v>35.015859274758697</v>
      </c>
      <c r="AL232" s="20">
        <v>57.900736244122697</v>
      </c>
      <c r="AM232" s="20">
        <v>58.449712906933598</v>
      </c>
      <c r="AN232" s="20" t="s">
        <v>58</v>
      </c>
    </row>
    <row r="233" spans="1:40" x14ac:dyDescent="0.25">
      <c r="A233" s="20">
        <v>231</v>
      </c>
      <c r="B233" s="20" t="s">
        <v>298</v>
      </c>
      <c r="C233" s="20" t="s">
        <v>61</v>
      </c>
      <c r="D233">
        <v>1</v>
      </c>
      <c r="E233" s="20" t="str">
        <f t="shared" si="3"/>
        <v>HAYE</v>
      </c>
      <c r="F233" s="20">
        <v>38.350900000000003</v>
      </c>
      <c r="G233" s="20">
        <v>142.45621</v>
      </c>
      <c r="H233" s="20">
        <v>28.818300000000001</v>
      </c>
      <c r="I233" s="20">
        <v>9.0500000000000007</v>
      </c>
      <c r="J233" s="20">
        <v>194.42998999999901</v>
      </c>
      <c r="K233" s="20">
        <v>10.210000000000001</v>
      </c>
      <c r="L233" s="20">
        <v>87.527491711049393</v>
      </c>
      <c r="M233" s="20">
        <v>5.7749348784001597</v>
      </c>
      <c r="N233" s="20">
        <v>25</v>
      </c>
      <c r="O233" s="20">
        <v>13</v>
      </c>
      <c r="P233" s="20">
        <v>25</v>
      </c>
      <c r="Q233" s="20">
        <v>20</v>
      </c>
      <c r="R233" s="25">
        <v>625</v>
      </c>
      <c r="S233" s="25">
        <v>260</v>
      </c>
      <c r="T233" s="25">
        <v>563.83341507692296</v>
      </c>
      <c r="U233" s="25">
        <v>375</v>
      </c>
      <c r="V233" s="25">
        <v>260</v>
      </c>
      <c r="W233" s="25">
        <v>939.72235846153797</v>
      </c>
      <c r="X233" s="25">
        <v>926.616786805125</v>
      </c>
      <c r="Y233" s="20" t="s">
        <v>64</v>
      </c>
      <c r="Z233" s="25">
        <v>21000</v>
      </c>
      <c r="AA233" s="25">
        <v>6000</v>
      </c>
      <c r="AB233" s="25">
        <v>27000</v>
      </c>
      <c r="AC233" s="25">
        <v>207.98136935793099</v>
      </c>
      <c r="AD233" s="25">
        <v>16.0078105935821</v>
      </c>
      <c r="AE233" s="25">
        <v>16.0078105935821</v>
      </c>
      <c r="AF233" s="25">
        <v>207.65737185700499</v>
      </c>
      <c r="AG233" s="25">
        <v>122.02396843839399</v>
      </c>
      <c r="AH233" s="25">
        <v>92.132640621300098</v>
      </c>
      <c r="AI233" s="25">
        <v>59.798238560590903</v>
      </c>
      <c r="AJ233" s="25">
        <v>50.397008477398202</v>
      </c>
      <c r="AK233" s="25">
        <v>38.945332206120803</v>
      </c>
      <c r="AL233" s="20">
        <v>87.072092170626107</v>
      </c>
      <c r="AM233" s="20">
        <v>53.151451325434202</v>
      </c>
      <c r="AN233" s="20" t="s">
        <v>58</v>
      </c>
    </row>
    <row r="234" spans="1:40" x14ac:dyDescent="0.25">
      <c r="A234" s="20">
        <v>232</v>
      </c>
      <c r="B234" s="20" t="s">
        <v>299</v>
      </c>
      <c r="C234" s="20" t="s">
        <v>61</v>
      </c>
      <c r="D234">
        <v>1</v>
      </c>
      <c r="E234" s="20" t="str">
        <f t="shared" si="3"/>
        <v>IDEx</v>
      </c>
      <c r="F234" s="20">
        <v>38.1</v>
      </c>
      <c r="G234" s="20">
        <v>142.85</v>
      </c>
      <c r="H234" s="20">
        <v>24.96</v>
      </c>
      <c r="I234" s="20">
        <v>9</v>
      </c>
      <c r="J234" s="20">
        <v>189.78209999998799</v>
      </c>
      <c r="K234" s="20">
        <v>15.317799999998901</v>
      </c>
      <c r="L234" s="20">
        <v>999</v>
      </c>
      <c r="M234" s="20">
        <v>2.6480000000000001</v>
      </c>
      <c r="N234" s="20">
        <v>89</v>
      </c>
      <c r="O234" s="20">
        <v>49</v>
      </c>
      <c r="P234" s="20">
        <v>5</v>
      </c>
      <c r="Q234" s="20">
        <v>4.9000000000000004</v>
      </c>
      <c r="R234">
        <v>445</v>
      </c>
      <c r="S234">
        <v>240.1</v>
      </c>
      <c r="T234">
        <v>1002.3976351295599</v>
      </c>
      <c r="U234">
        <v>420</v>
      </c>
      <c r="V234">
        <v>225.4</v>
      </c>
      <c r="W234">
        <v>1131.32921501035</v>
      </c>
      <c r="X234">
        <v>656.60929396619201</v>
      </c>
      <c r="Y234" s="20" t="s">
        <v>110</v>
      </c>
      <c r="Z234">
        <v>37215.5</v>
      </c>
      <c r="AA234">
        <v>9383.5</v>
      </c>
      <c r="AB234">
        <v>46599</v>
      </c>
      <c r="AC234">
        <v>234.881101998688</v>
      </c>
      <c r="AD234">
        <v>2.0838520071360702</v>
      </c>
      <c r="AE234">
        <v>2.0838520071360702</v>
      </c>
      <c r="AF234">
        <v>445</v>
      </c>
      <c r="AG234">
        <v>240.1</v>
      </c>
      <c r="AH234">
        <v>71.774123933588896</v>
      </c>
      <c r="AI234">
        <v>73.037714447251403</v>
      </c>
      <c r="AJ234">
        <v>14.341650434378</v>
      </c>
      <c r="AK234">
        <v>14.0202919713002</v>
      </c>
      <c r="AL234" s="20">
        <v>46.864133810799402</v>
      </c>
      <c r="AM234" s="20">
        <v>13.039190267828401</v>
      </c>
      <c r="AN234" s="20" t="s">
        <v>58</v>
      </c>
    </row>
    <row r="235" spans="1:40" x14ac:dyDescent="0.25">
      <c r="A235" s="20">
        <v>233</v>
      </c>
      <c r="B235" s="20" t="s">
        <v>300</v>
      </c>
      <c r="C235" s="20" t="s">
        <v>61</v>
      </c>
      <c r="D235">
        <v>1</v>
      </c>
      <c r="E235" s="20" t="str">
        <f t="shared" si="3"/>
        <v>LAYx</v>
      </c>
      <c r="F235" s="20">
        <v>38.146999999999998</v>
      </c>
      <c r="G235" s="20">
        <v>142.91499999999999</v>
      </c>
      <c r="H235" s="20">
        <v>17</v>
      </c>
      <c r="I235" s="20">
        <v>9</v>
      </c>
      <c r="J235" s="20">
        <v>202</v>
      </c>
      <c r="K235" s="20">
        <v>10</v>
      </c>
      <c r="L235" s="20">
        <v>68.198590513648199</v>
      </c>
      <c r="M235" s="20">
        <v>1.3716182233306999</v>
      </c>
      <c r="N235" s="20">
        <v>19</v>
      </c>
      <c r="O235" s="20">
        <v>10</v>
      </c>
      <c r="P235" s="20">
        <v>20</v>
      </c>
      <c r="Q235" s="20">
        <v>20</v>
      </c>
      <c r="R235">
        <v>380</v>
      </c>
      <c r="S235">
        <v>200</v>
      </c>
      <c r="T235">
        <v>1589.3639452631601</v>
      </c>
      <c r="U235">
        <v>320</v>
      </c>
      <c r="V235">
        <v>200</v>
      </c>
      <c r="W235">
        <v>1887.3696849999999</v>
      </c>
      <c r="X235">
        <v>1264.51949923949</v>
      </c>
      <c r="Y235" s="20" t="s">
        <v>76</v>
      </c>
      <c r="Z235">
        <v>19600</v>
      </c>
      <c r="AA235">
        <v>2400</v>
      </c>
      <c r="AB235">
        <v>22000</v>
      </c>
      <c r="AC235">
        <v>90.553851381374201</v>
      </c>
      <c r="AD235">
        <v>14.142135623731001</v>
      </c>
      <c r="AE235">
        <v>70.710678118654798</v>
      </c>
      <c r="AF235">
        <v>317.67665730253799</v>
      </c>
      <c r="AG235">
        <v>36.710359304292801</v>
      </c>
      <c r="AH235">
        <v>78.3586679248465</v>
      </c>
      <c r="AI235">
        <v>27.478207639876</v>
      </c>
      <c r="AJ235">
        <v>46.861237101079602</v>
      </c>
      <c r="AK235">
        <v>37.896674525869301</v>
      </c>
      <c r="AL235" s="20">
        <v>72.311842812986001</v>
      </c>
      <c r="AM235" s="20">
        <v>26.592406985641599</v>
      </c>
      <c r="AN235" s="20" t="s">
        <v>58</v>
      </c>
    </row>
    <row r="236" spans="1:40" x14ac:dyDescent="0.25">
      <c r="A236" s="20">
        <v>234</v>
      </c>
      <c r="B236" s="20" t="s">
        <v>301</v>
      </c>
      <c r="C236" s="20" t="s">
        <v>61</v>
      </c>
      <c r="D236">
        <v>1</v>
      </c>
      <c r="E236" s="20" t="str">
        <f t="shared" si="3"/>
        <v>WEIx</v>
      </c>
      <c r="F236" s="20">
        <v>38.037300000000002</v>
      </c>
      <c r="G236" s="20">
        <v>142.84200000000001</v>
      </c>
      <c r="H236" s="20">
        <v>20.374300000000002</v>
      </c>
      <c r="I236" s="20">
        <v>9</v>
      </c>
      <c r="J236" s="20">
        <v>201</v>
      </c>
      <c r="K236" s="20">
        <v>9</v>
      </c>
      <c r="L236" s="20">
        <v>86.1518434482266</v>
      </c>
      <c r="M236" s="20">
        <v>3.1664753495976901</v>
      </c>
      <c r="N236" s="20">
        <v>21</v>
      </c>
      <c r="O236" s="20">
        <v>12</v>
      </c>
      <c r="P236" s="20">
        <v>25</v>
      </c>
      <c r="Q236" s="20">
        <v>20</v>
      </c>
      <c r="R236">
        <v>525</v>
      </c>
      <c r="S236">
        <v>240</v>
      </c>
      <c r="T236">
        <v>942.857142857143</v>
      </c>
      <c r="U236">
        <v>500</v>
      </c>
      <c r="V236">
        <v>240</v>
      </c>
      <c r="W236">
        <v>990</v>
      </c>
      <c r="X236">
        <v>597.48044629161598</v>
      </c>
      <c r="Y236" s="20" t="s">
        <v>64</v>
      </c>
      <c r="Z236">
        <v>48500</v>
      </c>
      <c r="AA236">
        <v>8000</v>
      </c>
      <c r="AB236">
        <v>56500</v>
      </c>
      <c r="AC236">
        <v>0</v>
      </c>
      <c r="AD236">
        <v>16.0078105935821</v>
      </c>
      <c r="AE236">
        <v>32.5</v>
      </c>
      <c r="AF236">
        <v>460.15586381178298</v>
      </c>
      <c r="AG236">
        <v>239.999955131619</v>
      </c>
      <c r="AH236">
        <v>86.971719563757105</v>
      </c>
      <c r="AI236">
        <v>59.4640748740985</v>
      </c>
      <c r="AJ236">
        <v>55.328535962551101</v>
      </c>
      <c r="AK236">
        <v>42.887143931505697</v>
      </c>
      <c r="AL236" s="20">
        <v>68.594640346895901</v>
      </c>
      <c r="AM236" s="20">
        <v>31.9648843608107</v>
      </c>
      <c r="AN236" s="20" t="s">
        <v>58</v>
      </c>
    </row>
    <row r="237" spans="1:40" x14ac:dyDescent="0.25">
      <c r="A237" s="20">
        <v>235</v>
      </c>
      <c r="B237" s="20" t="s">
        <v>302</v>
      </c>
      <c r="C237" s="20" t="s">
        <v>61</v>
      </c>
      <c r="D237">
        <v>1</v>
      </c>
      <c r="E237" s="20" t="str">
        <f t="shared" si="3"/>
        <v>YAGI</v>
      </c>
      <c r="F237" s="20">
        <v>38.103000000000002</v>
      </c>
      <c r="G237" s="20">
        <v>142.86000000000001</v>
      </c>
      <c r="H237" s="20">
        <v>22</v>
      </c>
      <c r="I237" s="20">
        <v>9.11</v>
      </c>
      <c r="J237" s="20">
        <v>200</v>
      </c>
      <c r="K237" s="20">
        <v>12</v>
      </c>
      <c r="L237" s="20">
        <v>84.640979908998503</v>
      </c>
      <c r="M237" s="20">
        <v>5.37</v>
      </c>
      <c r="N237" s="20">
        <v>25</v>
      </c>
      <c r="O237" s="20">
        <v>10</v>
      </c>
      <c r="P237" s="20">
        <v>20</v>
      </c>
      <c r="Q237" s="20">
        <v>20</v>
      </c>
      <c r="R237">
        <v>500</v>
      </c>
      <c r="S237">
        <v>200</v>
      </c>
      <c r="T237">
        <v>1258.5820000000001</v>
      </c>
      <c r="U237">
        <v>380</v>
      </c>
      <c r="V237">
        <v>200</v>
      </c>
      <c r="W237">
        <v>1656.0289473684199</v>
      </c>
      <c r="X237">
        <v>1346.6390178242</v>
      </c>
      <c r="Y237" s="20" t="s">
        <v>76</v>
      </c>
      <c r="Z237">
        <v>18400</v>
      </c>
      <c r="AA237">
        <v>9200</v>
      </c>
      <c r="AB237">
        <v>27600</v>
      </c>
      <c r="AC237">
        <v>164.01219466856699</v>
      </c>
      <c r="AD237">
        <v>10</v>
      </c>
      <c r="AE237">
        <v>10</v>
      </c>
      <c r="AF237">
        <v>339.17848124469299</v>
      </c>
      <c r="AG237">
        <v>74.880498209100594</v>
      </c>
      <c r="AH237">
        <v>92.524303764530003</v>
      </c>
      <c r="AI237">
        <v>48.975717089537298</v>
      </c>
      <c r="AJ237">
        <v>44.8164618515641</v>
      </c>
      <c r="AK237">
        <v>41.573488135791997</v>
      </c>
      <c r="AL237" s="20">
        <v>40.898757290167097</v>
      </c>
      <c r="AM237" s="20">
        <v>16.1131241753423</v>
      </c>
      <c r="AN237" s="20" t="s">
        <v>58</v>
      </c>
    </row>
    <row r="238" spans="1:40" x14ac:dyDescent="0.25">
      <c r="A238" s="20">
        <v>236</v>
      </c>
      <c r="B238" s="20" t="s">
        <v>303</v>
      </c>
      <c r="C238" s="20" t="s">
        <v>61</v>
      </c>
      <c r="D238">
        <v>1</v>
      </c>
      <c r="E238" s="20" t="str">
        <f t="shared" si="3"/>
        <v>YAMA</v>
      </c>
      <c r="F238" s="20">
        <v>38.106999999999999</v>
      </c>
      <c r="G238" s="20">
        <v>142.916</v>
      </c>
      <c r="H238" s="20">
        <v>18.341799999999999</v>
      </c>
      <c r="I238" s="20">
        <v>9</v>
      </c>
      <c r="J238" s="20">
        <v>192</v>
      </c>
      <c r="K238" s="20">
        <v>12</v>
      </c>
      <c r="L238" s="20">
        <v>91.628155542726702</v>
      </c>
      <c r="M238" s="20">
        <v>-0.370316908177593</v>
      </c>
      <c r="N238" s="20">
        <v>17</v>
      </c>
      <c r="O238" s="20">
        <v>10</v>
      </c>
      <c r="P238" s="20">
        <v>20</v>
      </c>
      <c r="Q238" s="20">
        <v>20</v>
      </c>
      <c r="R238">
        <v>340</v>
      </c>
      <c r="S238">
        <v>200</v>
      </c>
      <c r="T238">
        <v>1422.8398458823499</v>
      </c>
      <c r="U238">
        <v>280</v>
      </c>
      <c r="V238">
        <v>180</v>
      </c>
      <c r="W238">
        <v>1919.7045539682499</v>
      </c>
      <c r="X238">
        <v>1607.09905094796</v>
      </c>
      <c r="Y238" s="20" t="s">
        <v>64</v>
      </c>
      <c r="Z238">
        <v>9600</v>
      </c>
      <c r="AA238">
        <v>3200</v>
      </c>
      <c r="AB238">
        <v>12800</v>
      </c>
      <c r="AC238">
        <v>133.416640641263</v>
      </c>
      <c r="AD238">
        <v>31.6227766016838</v>
      </c>
      <c r="AE238">
        <v>58.309518948452997</v>
      </c>
      <c r="AF238">
        <v>208.855797231162</v>
      </c>
      <c r="AG238">
        <v>38.706668853524903</v>
      </c>
      <c r="AH238">
        <v>69.470104452382202</v>
      </c>
      <c r="AI238">
        <v>29.506267270413002</v>
      </c>
      <c r="AJ238">
        <v>43.475760546726796</v>
      </c>
      <c r="AK238">
        <v>36.187161964139399</v>
      </c>
      <c r="AL238" s="20">
        <v>90.152897138250594</v>
      </c>
      <c r="AM238" s="20">
        <v>70.721770491200203</v>
      </c>
      <c r="AN238" s="20" t="s">
        <v>58</v>
      </c>
    </row>
    <row r="239" spans="1:40" x14ac:dyDescent="0.25">
      <c r="A239" s="20">
        <v>237</v>
      </c>
      <c r="B239" s="20" t="s">
        <v>304</v>
      </c>
      <c r="C239" s="20" t="s">
        <v>61</v>
      </c>
      <c r="D239">
        <v>1</v>
      </c>
      <c r="E239" s="20" t="str">
        <f t="shared" si="3"/>
        <v>WEIx</v>
      </c>
      <c r="F239" s="20">
        <v>38.19</v>
      </c>
      <c r="G239" s="20">
        <v>142.68</v>
      </c>
      <c r="H239" s="20">
        <v>21</v>
      </c>
      <c r="I239" s="20">
        <v>9.09</v>
      </c>
      <c r="J239" s="20">
        <v>201</v>
      </c>
      <c r="K239" s="20">
        <v>10</v>
      </c>
      <c r="L239" s="20">
        <v>80.463493719780303</v>
      </c>
      <c r="M239" s="20">
        <v>2.7669000000000001</v>
      </c>
      <c r="N239" s="20">
        <v>21</v>
      </c>
      <c r="O239" s="20">
        <v>13</v>
      </c>
      <c r="P239" s="20">
        <v>25</v>
      </c>
      <c r="Q239" s="20">
        <v>20</v>
      </c>
      <c r="R239">
        <v>525</v>
      </c>
      <c r="S239">
        <v>260</v>
      </c>
      <c r="T239">
        <v>955.25673992674001</v>
      </c>
      <c r="U239">
        <v>450</v>
      </c>
      <c r="V239">
        <v>200</v>
      </c>
      <c r="W239">
        <v>1448.8060555555601</v>
      </c>
      <c r="X239">
        <v>1282.9470130703901</v>
      </c>
      <c r="Y239" s="20" t="s">
        <v>76</v>
      </c>
      <c r="Z239">
        <v>25500</v>
      </c>
      <c r="AA239">
        <v>10500</v>
      </c>
      <c r="AB239">
        <v>36000</v>
      </c>
      <c r="AC239">
        <v>116.43131022195</v>
      </c>
      <c r="AD239">
        <v>16.0078105935821</v>
      </c>
      <c r="AE239">
        <v>16.0078105935821</v>
      </c>
      <c r="AF239">
        <v>524.99261395942801</v>
      </c>
      <c r="AG239">
        <v>188.21690711591401</v>
      </c>
      <c r="AH239">
        <v>86.026152595766206</v>
      </c>
      <c r="AI239">
        <v>48.875507135695003</v>
      </c>
      <c r="AJ239">
        <v>56.095134457322999</v>
      </c>
      <c r="AK239">
        <v>41.767527750235502</v>
      </c>
      <c r="AL239" s="20">
        <v>59.816338628338002</v>
      </c>
      <c r="AM239" s="20">
        <v>45.245932777433197</v>
      </c>
      <c r="AN239" s="20" t="s">
        <v>58</v>
      </c>
    </row>
    <row r="240" spans="1:40" x14ac:dyDescent="0.25">
      <c r="A240" s="20">
        <v>238</v>
      </c>
      <c r="B240" s="20" t="s">
        <v>305</v>
      </c>
      <c r="C240" s="20" t="s">
        <v>61</v>
      </c>
      <c r="D240">
        <v>0</v>
      </c>
      <c r="E240" s="20" t="str">
        <f t="shared" si="3"/>
        <v>ALTI</v>
      </c>
      <c r="F240" s="20">
        <v>38.751100000000001</v>
      </c>
      <c r="G240" s="20">
        <v>43.469799999999999</v>
      </c>
      <c r="H240" s="20">
        <v>15.18</v>
      </c>
      <c r="I240" s="20">
        <v>7.2</v>
      </c>
      <c r="J240" s="20">
        <v>241.32</v>
      </c>
      <c r="K240" s="20">
        <v>51</v>
      </c>
      <c r="L240" s="20">
        <v>29.954377992192502</v>
      </c>
      <c r="M240" s="20">
        <v>1.6420999999999999</v>
      </c>
      <c r="N240" s="20">
        <v>27</v>
      </c>
      <c r="O240" s="20">
        <v>16</v>
      </c>
      <c r="P240" s="20">
        <v>2.9630000000000001</v>
      </c>
      <c r="Q240" s="20">
        <v>3.17</v>
      </c>
      <c r="R240">
        <v>80.001000000000005</v>
      </c>
      <c r="S240">
        <v>50.72</v>
      </c>
      <c r="T240">
        <v>42.508356481481499</v>
      </c>
      <c r="U240">
        <v>77.037999999999997</v>
      </c>
      <c r="V240">
        <v>41.21</v>
      </c>
      <c r="W240">
        <v>54.3302071005917</v>
      </c>
      <c r="X240">
        <v>74.466504882076507</v>
      </c>
      <c r="Y240" s="20" t="s">
        <v>110</v>
      </c>
      <c r="Z240">
        <v>479.02821</v>
      </c>
      <c r="AA240">
        <v>187.85419999999999</v>
      </c>
      <c r="AB240">
        <v>666.88241000000005</v>
      </c>
      <c r="AC240">
        <v>33.193282513183298</v>
      </c>
      <c r="AD240">
        <v>1.6655437550541901</v>
      </c>
      <c r="AE240">
        <v>1.6655437550541901</v>
      </c>
      <c r="AF240">
        <v>52.5080305076307</v>
      </c>
      <c r="AG240">
        <v>12.1105054797184</v>
      </c>
      <c r="AH240">
        <v>11.9203482086556</v>
      </c>
      <c r="AI240">
        <v>6.20866011753479</v>
      </c>
      <c r="AJ240">
        <v>6.8659951219716397</v>
      </c>
      <c r="AK240">
        <v>6.5378901517173498</v>
      </c>
      <c r="AL240" s="20">
        <v>10.1461130734878</v>
      </c>
      <c r="AM240" s="20">
        <v>5.4204644496574304</v>
      </c>
      <c r="AN240" s="20" t="s">
        <v>58</v>
      </c>
    </row>
    <row r="241" spans="1:40" x14ac:dyDescent="0.25">
      <c r="A241" s="20">
        <v>239</v>
      </c>
      <c r="B241" s="20" t="s">
        <v>306</v>
      </c>
      <c r="C241" s="20" t="s">
        <v>61</v>
      </c>
      <c r="D241">
        <v>1</v>
      </c>
      <c r="E241" s="20" t="str">
        <f t="shared" si="3"/>
        <v>HAYE</v>
      </c>
      <c r="F241" s="20">
        <v>38.751100000000001</v>
      </c>
      <c r="G241" s="20">
        <v>43.469799999999999</v>
      </c>
      <c r="H241" s="20">
        <v>15.179500000000001</v>
      </c>
      <c r="I241" s="20">
        <v>7.1</v>
      </c>
      <c r="J241" s="20">
        <v>241.32001000000099</v>
      </c>
      <c r="K241" s="20">
        <v>50.940000000000097</v>
      </c>
      <c r="L241" s="20">
        <v>54.3606878872219</v>
      </c>
      <c r="M241" s="20">
        <v>-0.82043112260901996</v>
      </c>
      <c r="N241" s="20">
        <v>15</v>
      </c>
      <c r="O241" s="20">
        <v>16</v>
      </c>
      <c r="P241" s="20">
        <v>5</v>
      </c>
      <c r="Q241" s="20">
        <v>3.17</v>
      </c>
      <c r="R241" s="25">
        <v>75</v>
      </c>
      <c r="S241" s="25">
        <v>50.72</v>
      </c>
      <c r="T241" s="25">
        <v>44.88005725</v>
      </c>
      <c r="U241" s="25">
        <v>40</v>
      </c>
      <c r="V241" s="25">
        <v>41.21</v>
      </c>
      <c r="W241" s="25">
        <v>103.569362884615</v>
      </c>
      <c r="X241" s="25">
        <v>123.354950753339</v>
      </c>
      <c r="Y241" s="20" t="s">
        <v>64</v>
      </c>
      <c r="Z241" s="25">
        <v>237.75</v>
      </c>
      <c r="AA241" s="25">
        <v>126.8</v>
      </c>
      <c r="AB241" s="25">
        <v>364.55</v>
      </c>
      <c r="AC241" s="25">
        <v>29.653819737092899</v>
      </c>
      <c r="AD241" s="25">
        <v>2.9601055724416301</v>
      </c>
      <c r="AE241" s="25">
        <v>2.9601055724416301</v>
      </c>
      <c r="AF241" s="25">
        <v>16.161717589494501</v>
      </c>
      <c r="AG241" s="25">
        <v>18.323796401199999</v>
      </c>
      <c r="AH241" s="25">
        <v>7.29308251474247</v>
      </c>
      <c r="AI241" s="25">
        <v>6.2170982191766901</v>
      </c>
      <c r="AJ241" s="25">
        <v>9.1029342109746505</v>
      </c>
      <c r="AK241" s="25">
        <v>6.1378396684586498</v>
      </c>
      <c r="AL241" s="20">
        <v>1.86995538449451</v>
      </c>
      <c r="AM241" s="20">
        <v>2.49368668440925</v>
      </c>
      <c r="AN241" s="20" t="s">
        <v>58</v>
      </c>
    </row>
    <row r="242" spans="1:40" x14ac:dyDescent="0.25">
      <c r="A242" s="20">
        <v>240</v>
      </c>
      <c r="B242" s="20" t="s">
        <v>307</v>
      </c>
      <c r="C242" s="20" t="s">
        <v>61</v>
      </c>
      <c r="D242">
        <v>1</v>
      </c>
      <c r="E242" s="20" t="str">
        <f t="shared" si="3"/>
        <v>KONC</v>
      </c>
      <c r="F242" s="20">
        <v>38.691000000000003</v>
      </c>
      <c r="G242" s="20">
        <v>43.497</v>
      </c>
      <c r="H242" s="20">
        <v>19</v>
      </c>
      <c r="I242" s="20">
        <v>7.1</v>
      </c>
      <c r="J242" s="20">
        <v>259</v>
      </c>
      <c r="K242" s="20">
        <v>42.5</v>
      </c>
      <c r="L242" s="20">
        <v>75.310123839203101</v>
      </c>
      <c r="M242" s="20">
        <v>2.9361999999999999</v>
      </c>
      <c r="N242" s="20">
        <v>38</v>
      </c>
      <c r="O242" s="20">
        <v>16</v>
      </c>
      <c r="P242" s="20">
        <v>2.5</v>
      </c>
      <c r="Q242" s="20">
        <v>2.5</v>
      </c>
      <c r="R242">
        <v>95</v>
      </c>
      <c r="S242">
        <v>40</v>
      </c>
      <c r="T242">
        <v>50.0346592105263</v>
      </c>
      <c r="U242">
        <v>55</v>
      </c>
      <c r="V242">
        <v>27.5</v>
      </c>
      <c r="W242">
        <v>125.70691239669399</v>
      </c>
      <c r="X242">
        <v>152.687258484544</v>
      </c>
      <c r="Y242" s="20" t="s">
        <v>64</v>
      </c>
      <c r="Z242">
        <v>256.25</v>
      </c>
      <c r="AA242">
        <v>125</v>
      </c>
      <c r="AB242">
        <v>381.25</v>
      </c>
      <c r="AC242">
        <v>15.9099025766973</v>
      </c>
      <c r="AD242">
        <v>1.76776695296637</v>
      </c>
      <c r="AE242">
        <v>1.76776695296637</v>
      </c>
      <c r="AF242">
        <v>35.968756547800098</v>
      </c>
      <c r="AG242">
        <v>39.707664496426702</v>
      </c>
      <c r="AH242">
        <v>8.9791292099471693</v>
      </c>
      <c r="AI242">
        <v>9.4041038044293703</v>
      </c>
      <c r="AJ242">
        <v>5.6511142838592301</v>
      </c>
      <c r="AK242">
        <v>5.7494780231913998</v>
      </c>
      <c r="AL242" s="20">
        <v>6.7658175101017903</v>
      </c>
      <c r="AM242" s="20">
        <v>6.7874950268858401</v>
      </c>
      <c r="AN242" s="20" t="s">
        <v>58</v>
      </c>
    </row>
    <row r="243" spans="1:40" x14ac:dyDescent="0.25">
      <c r="A243" s="20">
        <v>241</v>
      </c>
      <c r="B243" s="20" t="s">
        <v>308</v>
      </c>
      <c r="C243" s="20" t="s">
        <v>61</v>
      </c>
      <c r="D243">
        <v>1</v>
      </c>
      <c r="E243" s="20" t="str">
        <f t="shared" si="3"/>
        <v>SHAO</v>
      </c>
      <c r="F243" s="20">
        <v>38.628</v>
      </c>
      <c r="G243" s="20">
        <v>43.485999999999997</v>
      </c>
      <c r="H243" s="20">
        <v>20</v>
      </c>
      <c r="I243" s="20">
        <v>7.13</v>
      </c>
      <c r="J243" s="20">
        <v>248</v>
      </c>
      <c r="K243" s="20">
        <v>45</v>
      </c>
      <c r="L243" s="20">
        <v>65.192682302600005</v>
      </c>
      <c r="M243" s="20">
        <v>0.55453304703363104</v>
      </c>
      <c r="N243" s="20">
        <v>9</v>
      </c>
      <c r="O243" s="20">
        <v>9</v>
      </c>
      <c r="P243" s="20">
        <v>5</v>
      </c>
      <c r="Q243" s="20">
        <v>5</v>
      </c>
      <c r="R243">
        <v>45</v>
      </c>
      <c r="S243">
        <v>45</v>
      </c>
      <c r="T243">
        <v>90.390412962962998</v>
      </c>
      <c r="U243">
        <v>40</v>
      </c>
      <c r="V243">
        <v>45</v>
      </c>
      <c r="W243">
        <v>101.689214583333</v>
      </c>
      <c r="X243">
        <v>93.981662224371306</v>
      </c>
      <c r="Y243" s="20" t="s">
        <v>64</v>
      </c>
      <c r="Z243">
        <v>375</v>
      </c>
      <c r="AA243">
        <v>250</v>
      </c>
      <c r="AB243">
        <v>625</v>
      </c>
      <c r="AC243">
        <v>14.577379737113301</v>
      </c>
      <c r="AD243">
        <v>3.53553390593274</v>
      </c>
      <c r="AE243">
        <v>3.53553390593274</v>
      </c>
      <c r="AF243">
        <v>36.148584037571801</v>
      </c>
      <c r="AG243">
        <v>24.9833078702599</v>
      </c>
      <c r="AH243">
        <v>11.513303679534401</v>
      </c>
      <c r="AI243">
        <v>9.3374052322623804</v>
      </c>
      <c r="AJ243">
        <v>10.4235076473164</v>
      </c>
      <c r="AK243">
        <v>9.5279449900711999</v>
      </c>
      <c r="AL243" s="20">
        <v>8.0224462715558307</v>
      </c>
      <c r="AM243" s="20">
        <v>9.3323676551023205</v>
      </c>
      <c r="AN243" s="20" t="s">
        <v>58</v>
      </c>
    </row>
    <row r="244" spans="1:40" x14ac:dyDescent="0.25">
      <c r="A244" s="20">
        <v>242</v>
      </c>
      <c r="B244" s="20" t="s">
        <v>309</v>
      </c>
      <c r="C244" s="20" t="s">
        <v>61</v>
      </c>
      <c r="D244">
        <v>1</v>
      </c>
      <c r="E244" s="20" t="str">
        <f t="shared" si="3"/>
        <v>UTKU</v>
      </c>
      <c r="F244" s="20">
        <v>38.729999999999997</v>
      </c>
      <c r="G244" s="20">
        <v>43.43</v>
      </c>
      <c r="H244" s="20">
        <v>16</v>
      </c>
      <c r="I244" s="20">
        <v>7.1</v>
      </c>
      <c r="J244" s="20">
        <v>255</v>
      </c>
      <c r="K244" s="20">
        <v>50</v>
      </c>
      <c r="L244" s="20">
        <v>73</v>
      </c>
      <c r="M244" s="20">
        <v>2.5941999999999998</v>
      </c>
      <c r="N244" s="20">
        <v>70</v>
      </c>
      <c r="O244" s="20">
        <v>35</v>
      </c>
      <c r="P244" s="20">
        <v>1</v>
      </c>
      <c r="Q244" s="20">
        <v>1</v>
      </c>
      <c r="R244">
        <v>70</v>
      </c>
      <c r="S244">
        <v>35</v>
      </c>
      <c r="T244">
        <v>56.334865306122403</v>
      </c>
      <c r="U244">
        <v>42</v>
      </c>
      <c r="V244">
        <v>28</v>
      </c>
      <c r="W244">
        <v>117.36430272108799</v>
      </c>
      <c r="X244">
        <v>147.75302830860099</v>
      </c>
      <c r="Y244" s="20" t="s">
        <v>76</v>
      </c>
      <c r="Z244">
        <v>114</v>
      </c>
      <c r="AA244">
        <v>39</v>
      </c>
      <c r="AB244">
        <v>153</v>
      </c>
      <c r="AC244">
        <v>21.100947846009198</v>
      </c>
      <c r="AD244">
        <v>4.0311288741492799</v>
      </c>
      <c r="AE244">
        <v>14.0089257261219</v>
      </c>
      <c r="AF244">
        <v>40.3752944307193</v>
      </c>
      <c r="AG244">
        <v>34.999998544387999</v>
      </c>
      <c r="AH244">
        <v>6.4653354971402797</v>
      </c>
      <c r="AI244">
        <v>7.1058425142897104</v>
      </c>
      <c r="AJ244">
        <v>2.5032415936057402</v>
      </c>
      <c r="AK244">
        <v>2.5308716406296501</v>
      </c>
      <c r="AL244" s="20">
        <v>17.420770482673799</v>
      </c>
      <c r="AM244" s="20">
        <v>14.417083655164101</v>
      </c>
      <c r="AN244" s="20" t="s">
        <v>58</v>
      </c>
    </row>
    <row r="245" spans="1:40" x14ac:dyDescent="0.25">
      <c r="A245" s="20">
        <v>243</v>
      </c>
      <c r="B245" s="20" t="s">
        <v>310</v>
      </c>
      <c r="C245" s="20" t="s">
        <v>61</v>
      </c>
      <c r="D245">
        <v>0</v>
      </c>
      <c r="E245" s="20" t="str">
        <f t="shared" si="3"/>
        <v>HAYE</v>
      </c>
      <c r="F245" s="20">
        <v>-18.36</v>
      </c>
      <c r="G245" s="20">
        <v>168.14</v>
      </c>
      <c r="H245" s="20">
        <v>32</v>
      </c>
      <c r="I245" s="20">
        <v>7.12</v>
      </c>
      <c r="J245" s="20">
        <v>334</v>
      </c>
      <c r="K245" s="20">
        <v>29</v>
      </c>
      <c r="L245" s="20">
        <v>92.331702658099104</v>
      </c>
      <c r="M245" s="20">
        <v>16.239999999999998</v>
      </c>
      <c r="N245" s="20">
        <v>14</v>
      </c>
      <c r="O245" s="20">
        <v>13</v>
      </c>
      <c r="P245" s="20">
        <v>5</v>
      </c>
      <c r="Q245" s="20">
        <v>5</v>
      </c>
      <c r="R245" s="25">
        <v>70</v>
      </c>
      <c r="S245" s="25">
        <v>65</v>
      </c>
      <c r="T245" s="25">
        <v>20.741648351648401</v>
      </c>
      <c r="U245" s="25">
        <v>45</v>
      </c>
      <c r="V245" s="25">
        <v>40</v>
      </c>
      <c r="W245" s="25">
        <v>52.430277777777803</v>
      </c>
      <c r="X245" s="25">
        <v>70.507121398777599</v>
      </c>
      <c r="Y245" s="20" t="s">
        <v>102</v>
      </c>
      <c r="Z245" s="25">
        <v>275</v>
      </c>
      <c r="AA245" s="25">
        <v>250</v>
      </c>
      <c r="AB245" s="25">
        <v>525</v>
      </c>
      <c r="AC245" s="25">
        <v>3.53553390593274</v>
      </c>
      <c r="AD245" s="25">
        <v>3.53553390593274</v>
      </c>
      <c r="AE245" s="25">
        <v>3.53553390593274</v>
      </c>
      <c r="AF245" s="25">
        <v>17.0022677914457</v>
      </c>
      <c r="AG245" s="25">
        <v>25.108489908962401</v>
      </c>
      <c r="AH245" s="25">
        <v>7.2266850094556698</v>
      </c>
      <c r="AI245" s="25">
        <v>9.1731496918829105</v>
      </c>
      <c r="AJ245" s="25">
        <v>8.6879785247759305</v>
      </c>
      <c r="AK245" s="25">
        <v>9.8119359039785206</v>
      </c>
      <c r="AL245" s="20">
        <v>7.2673631531663503</v>
      </c>
      <c r="AM245" s="20">
        <v>6.7619009021132497</v>
      </c>
      <c r="AN245" s="20" t="s">
        <v>58</v>
      </c>
    </row>
    <row r="246" spans="1:40" x14ac:dyDescent="0.25">
      <c r="A246" s="20">
        <v>244</v>
      </c>
      <c r="B246" s="20" t="s">
        <v>311</v>
      </c>
      <c r="C246" s="20" t="s">
        <v>61</v>
      </c>
      <c r="D246">
        <v>1</v>
      </c>
      <c r="E246" s="20" t="str">
        <f t="shared" si="3"/>
        <v>HAYE</v>
      </c>
      <c r="F246" s="20">
        <v>10.101699999999999</v>
      </c>
      <c r="G246" s="20">
        <v>-85.3446</v>
      </c>
      <c r="H246" s="20">
        <v>39.323799999999999</v>
      </c>
      <c r="I246" s="20">
        <v>7.57</v>
      </c>
      <c r="J246" s="20">
        <v>307</v>
      </c>
      <c r="K246" s="20">
        <v>25</v>
      </c>
      <c r="L246" s="20">
        <v>97.440809829205506</v>
      </c>
      <c r="M246" s="20">
        <v>10.5857269530372</v>
      </c>
      <c r="N246" s="20">
        <v>15</v>
      </c>
      <c r="O246" s="20">
        <v>15</v>
      </c>
      <c r="P246" s="20">
        <v>10</v>
      </c>
      <c r="Q246" s="20">
        <v>8</v>
      </c>
      <c r="R246">
        <v>150</v>
      </c>
      <c r="S246">
        <v>120</v>
      </c>
      <c r="T246">
        <v>28.901426844444401</v>
      </c>
      <c r="U246">
        <v>110</v>
      </c>
      <c r="V246">
        <v>88</v>
      </c>
      <c r="W246">
        <v>53.742322644628103</v>
      </c>
      <c r="X246">
        <v>74.287457221578094</v>
      </c>
      <c r="Y246" s="20" t="s">
        <v>64</v>
      </c>
      <c r="Z246">
        <v>640</v>
      </c>
      <c r="AA246">
        <v>480</v>
      </c>
      <c r="AB246">
        <v>1120</v>
      </c>
      <c r="AC246">
        <v>40.311288741492703</v>
      </c>
      <c r="AD246">
        <v>6.4031242374328503</v>
      </c>
      <c r="AE246">
        <v>6.4031242374328503</v>
      </c>
      <c r="AF246">
        <v>37.634143795907001</v>
      </c>
      <c r="AG246">
        <v>42.391670899771398</v>
      </c>
      <c r="AH246">
        <v>15.509213798389199</v>
      </c>
      <c r="AI246">
        <v>15.0688164570466</v>
      </c>
      <c r="AJ246">
        <v>18.282960080646902</v>
      </c>
      <c r="AK246">
        <v>15.583282846049</v>
      </c>
      <c r="AL246" s="20">
        <v>11.7063848241035</v>
      </c>
      <c r="AM246" s="20">
        <v>10.429374163869999</v>
      </c>
      <c r="AN246" s="20" t="s">
        <v>58</v>
      </c>
    </row>
    <row r="247" spans="1:40" x14ac:dyDescent="0.25">
      <c r="A247" s="20">
        <v>245</v>
      </c>
      <c r="B247" s="20" t="s">
        <v>312</v>
      </c>
      <c r="C247" s="20" t="s">
        <v>61</v>
      </c>
      <c r="D247">
        <v>1</v>
      </c>
      <c r="E247" s="20" t="str">
        <f t="shared" si="3"/>
        <v>LIUx</v>
      </c>
      <c r="F247" s="20">
        <v>9.76</v>
      </c>
      <c r="G247" s="20">
        <v>-85.56</v>
      </c>
      <c r="H247" s="20">
        <v>13.1</v>
      </c>
      <c r="I247" s="20">
        <v>7.6</v>
      </c>
      <c r="J247" s="20">
        <v>307</v>
      </c>
      <c r="K247" s="20">
        <v>21</v>
      </c>
      <c r="L247" s="20">
        <v>98.507185864409806</v>
      </c>
      <c r="M247" s="20">
        <v>1.8120000000000001</v>
      </c>
      <c r="N247" s="20">
        <v>21</v>
      </c>
      <c r="O247" s="20">
        <v>16</v>
      </c>
      <c r="P247" s="20">
        <v>8</v>
      </c>
      <c r="Q247" s="20">
        <v>7</v>
      </c>
      <c r="R247">
        <v>168</v>
      </c>
      <c r="S247">
        <v>112</v>
      </c>
      <c r="T247">
        <v>42.736233124999998</v>
      </c>
      <c r="U247">
        <v>120</v>
      </c>
      <c r="V247">
        <v>84</v>
      </c>
      <c r="W247">
        <v>79.774301833333297</v>
      </c>
      <c r="X247">
        <v>87.221539364487398</v>
      </c>
      <c r="Y247" s="20" t="s">
        <v>64</v>
      </c>
      <c r="Z247" s="28">
        <v>1176</v>
      </c>
      <c r="AA247">
        <v>280</v>
      </c>
      <c r="AB247">
        <v>1456</v>
      </c>
      <c r="AC247">
        <v>45.817064457460297</v>
      </c>
      <c r="AD247">
        <v>10.738979326886399</v>
      </c>
      <c r="AE247">
        <v>17.633064539861699</v>
      </c>
      <c r="AF247">
        <v>52.660568178901897</v>
      </c>
      <c r="AG247">
        <v>40.9641773842012</v>
      </c>
      <c r="AH247">
        <v>19.289704747228399</v>
      </c>
      <c r="AI247">
        <v>15.874282423091</v>
      </c>
      <c r="AJ247">
        <v>15.9309551026116</v>
      </c>
      <c r="AK247">
        <v>13.7017529872046</v>
      </c>
      <c r="AL247" s="20">
        <v>31.169297601899601</v>
      </c>
      <c r="AM247" s="20">
        <v>35.295094126775403</v>
      </c>
      <c r="AN247" s="20" t="s">
        <v>58</v>
      </c>
    </row>
    <row r="248" spans="1:40" x14ac:dyDescent="0.25">
      <c r="A248" s="20">
        <v>246</v>
      </c>
      <c r="B248" s="20" t="s">
        <v>313</v>
      </c>
      <c r="C248" s="20" t="s">
        <v>56</v>
      </c>
      <c r="D248">
        <v>1</v>
      </c>
      <c r="E248" s="20" t="str">
        <f t="shared" si="3"/>
        <v>HAYE</v>
      </c>
      <c r="F248" s="20">
        <v>10.816000000000001</v>
      </c>
      <c r="G248" s="20">
        <v>126.6725</v>
      </c>
      <c r="H248" s="20">
        <v>34.040100000000002</v>
      </c>
      <c r="I248" s="20">
        <v>7.59</v>
      </c>
      <c r="J248" s="20">
        <v>345.75</v>
      </c>
      <c r="K248" s="20">
        <v>45.770000000000302</v>
      </c>
      <c r="L248" s="20">
        <v>56.154990614656398</v>
      </c>
      <c r="M248" s="20">
        <v>1.7955635761988999</v>
      </c>
      <c r="N248" s="20">
        <v>16</v>
      </c>
      <c r="O248" s="20">
        <v>15</v>
      </c>
      <c r="P248" s="20">
        <v>8</v>
      </c>
      <c r="Q248" s="20">
        <v>6</v>
      </c>
      <c r="R248" s="25">
        <v>128</v>
      </c>
      <c r="S248" s="25">
        <v>90</v>
      </c>
      <c r="T248" s="25">
        <v>41.963704708333303</v>
      </c>
      <c r="U248" s="25">
        <v>72</v>
      </c>
      <c r="V248" s="25">
        <v>66</v>
      </c>
      <c r="W248" s="25">
        <v>101.730193232323</v>
      </c>
      <c r="X248" s="25">
        <v>93.019508462785694</v>
      </c>
      <c r="Y248" s="20" t="s">
        <v>64</v>
      </c>
      <c r="Z248" s="25">
        <v>1200</v>
      </c>
      <c r="AA248" s="25">
        <v>624</v>
      </c>
      <c r="AB248" s="25">
        <v>1824</v>
      </c>
      <c r="AC248" s="25">
        <v>20.223748416156699</v>
      </c>
      <c r="AD248" s="25">
        <v>5</v>
      </c>
      <c r="AE248" s="25">
        <v>5</v>
      </c>
      <c r="AF248" s="25">
        <v>60.218507083853503</v>
      </c>
      <c r="AG248" s="25">
        <v>57.756932672685402</v>
      </c>
      <c r="AH248" s="25">
        <v>19.317023236732901</v>
      </c>
      <c r="AI248" s="25">
        <v>16.4849082038311</v>
      </c>
      <c r="AJ248" s="25">
        <v>16.645079440383402</v>
      </c>
      <c r="AK248" s="25">
        <v>12.831304804961199</v>
      </c>
      <c r="AL248" s="20">
        <v>10.8076087942708</v>
      </c>
      <c r="AM248" s="20">
        <v>8.1329237903720699</v>
      </c>
      <c r="AN248" s="20" t="s">
        <v>58</v>
      </c>
    </row>
    <row r="249" spans="1:40" x14ac:dyDescent="0.25">
      <c r="A249" s="20">
        <v>247</v>
      </c>
      <c r="B249" s="20" t="s">
        <v>314</v>
      </c>
      <c r="C249" s="20" t="s">
        <v>61</v>
      </c>
      <c r="D249">
        <v>1</v>
      </c>
      <c r="E249" s="20" t="str">
        <f t="shared" si="3"/>
        <v>HAYE</v>
      </c>
      <c r="F249" s="20">
        <v>52.741999999999997</v>
      </c>
      <c r="G249" s="20">
        <v>-132.131</v>
      </c>
      <c r="H249" s="20">
        <v>15</v>
      </c>
      <c r="I249" s="20">
        <v>7.83</v>
      </c>
      <c r="J249" s="20">
        <v>323</v>
      </c>
      <c r="K249" s="20">
        <v>30</v>
      </c>
      <c r="L249" s="20">
        <v>125.31871456131999</v>
      </c>
      <c r="M249" s="20">
        <v>0.65</v>
      </c>
      <c r="N249" s="20">
        <v>18</v>
      </c>
      <c r="O249" s="20">
        <v>10</v>
      </c>
      <c r="P249" s="20">
        <v>14</v>
      </c>
      <c r="Q249" s="20">
        <v>8.1999999999999993</v>
      </c>
      <c r="R249" s="25">
        <v>252</v>
      </c>
      <c r="S249" s="25">
        <v>82</v>
      </c>
      <c r="T249" s="25">
        <v>95.204222222222199</v>
      </c>
      <c r="U249" s="25">
        <v>238</v>
      </c>
      <c r="V249" s="25">
        <v>65.599999999999994</v>
      </c>
      <c r="W249" s="25">
        <v>126.005588235294</v>
      </c>
      <c r="X249" s="25">
        <v>123.088605689772</v>
      </c>
      <c r="Y249" s="20" t="s">
        <v>102</v>
      </c>
      <c r="Z249" s="25">
        <v>1951.6</v>
      </c>
      <c r="AA249" s="25">
        <v>688.8</v>
      </c>
      <c r="AB249" s="25">
        <v>2640.4</v>
      </c>
      <c r="AC249" s="25">
        <v>95.418499254599496</v>
      </c>
      <c r="AD249" s="25">
        <v>14.152384958020299</v>
      </c>
      <c r="AE249" s="25">
        <v>14.152384958020299</v>
      </c>
      <c r="AF249" s="25">
        <v>78.656640663562598</v>
      </c>
      <c r="AG249" s="25">
        <v>27.228842732722899</v>
      </c>
      <c r="AH249" s="25">
        <v>63.126660673754202</v>
      </c>
      <c r="AI249" s="25">
        <v>23.328611742421799</v>
      </c>
      <c r="AJ249" s="25">
        <v>26.626040026393401</v>
      </c>
      <c r="AK249" s="25">
        <v>14.575792393887101</v>
      </c>
      <c r="AL249" s="20">
        <v>29.691122351638999</v>
      </c>
      <c r="AM249" s="20">
        <v>16.550277950536099</v>
      </c>
      <c r="AN249" s="20" t="s">
        <v>58</v>
      </c>
    </row>
    <row r="250" spans="1:40" x14ac:dyDescent="0.25">
      <c r="A250" s="20">
        <v>248</v>
      </c>
      <c r="B250" s="20" t="s">
        <v>315</v>
      </c>
      <c r="C250" s="20" t="s">
        <v>61</v>
      </c>
      <c r="D250">
        <v>1</v>
      </c>
      <c r="E250" s="20" t="str">
        <f t="shared" si="3"/>
        <v>LAYx</v>
      </c>
      <c r="F250" s="20">
        <v>52.7881</v>
      </c>
      <c r="G250" s="20">
        <v>-132.1011</v>
      </c>
      <c r="H250" s="20">
        <v>15.85</v>
      </c>
      <c r="I250" s="20">
        <v>7.82</v>
      </c>
      <c r="J250" s="20">
        <v>320</v>
      </c>
      <c r="K250" s="20">
        <v>18.5</v>
      </c>
      <c r="L250" s="20">
        <v>109.34668630551</v>
      </c>
      <c r="M250" s="20">
        <v>2.9990000000000001</v>
      </c>
      <c r="N250" s="20">
        <v>16</v>
      </c>
      <c r="O250" s="20">
        <v>6</v>
      </c>
      <c r="P250" s="20">
        <v>9</v>
      </c>
      <c r="Q250" s="20">
        <v>9</v>
      </c>
      <c r="R250">
        <v>144</v>
      </c>
      <c r="S250">
        <v>54</v>
      </c>
      <c r="T250">
        <v>287.605208333333</v>
      </c>
      <c r="U250">
        <v>144</v>
      </c>
      <c r="V250">
        <v>54</v>
      </c>
      <c r="W250">
        <v>287.605208333333</v>
      </c>
      <c r="X250">
        <v>204.85496505925801</v>
      </c>
      <c r="Y250" s="20" t="s">
        <v>76</v>
      </c>
      <c r="Z250" s="28">
        <v>2025</v>
      </c>
      <c r="AA250">
        <v>1620</v>
      </c>
      <c r="AB250">
        <v>3645</v>
      </c>
      <c r="AC250">
        <v>76.638109484652702</v>
      </c>
      <c r="AD250">
        <v>13.8215442058933</v>
      </c>
      <c r="AE250">
        <v>24.916855006086699</v>
      </c>
      <c r="AF250">
        <v>61.5101415776371</v>
      </c>
      <c r="AG250">
        <v>35.294753677383298</v>
      </c>
      <c r="AH250">
        <v>18.8024663551248</v>
      </c>
      <c r="AI250">
        <v>15.4477264796135</v>
      </c>
      <c r="AJ250">
        <v>17.6086892018178</v>
      </c>
      <c r="AK250">
        <v>17.297288489617699</v>
      </c>
      <c r="AL250" s="20">
        <v>46.121212653132801</v>
      </c>
      <c r="AM250" s="20">
        <v>29.078429071418299</v>
      </c>
      <c r="AN250" s="20" t="s">
        <v>58</v>
      </c>
    </row>
    <row r="251" spans="1:40" x14ac:dyDescent="0.25">
      <c r="A251" s="20">
        <v>249</v>
      </c>
      <c r="B251" s="20" t="s">
        <v>316</v>
      </c>
      <c r="C251" s="20" t="s">
        <v>61</v>
      </c>
      <c r="D251">
        <v>1</v>
      </c>
      <c r="E251" s="20" t="str">
        <f t="shared" si="3"/>
        <v>SHAO</v>
      </c>
      <c r="F251" s="20">
        <v>52.768999999999998</v>
      </c>
      <c r="G251" s="20">
        <v>-131.92699999999999</v>
      </c>
      <c r="H251" s="20">
        <v>17</v>
      </c>
      <c r="I251" s="20">
        <v>7.72</v>
      </c>
      <c r="J251" s="20">
        <v>325</v>
      </c>
      <c r="K251" s="20">
        <v>29</v>
      </c>
      <c r="L251" s="20">
        <v>111.50797443993</v>
      </c>
      <c r="M251" s="20">
        <v>4.8797518987683199</v>
      </c>
      <c r="N251" s="20">
        <v>12</v>
      </c>
      <c r="O251" s="20">
        <v>6</v>
      </c>
      <c r="P251" s="20">
        <v>12</v>
      </c>
      <c r="Q251" s="20">
        <v>10</v>
      </c>
      <c r="R251">
        <v>144</v>
      </c>
      <c r="S251">
        <v>60</v>
      </c>
      <c r="T251">
        <v>156.832670138889</v>
      </c>
      <c r="U251">
        <v>120</v>
      </c>
      <c r="V251">
        <v>50</v>
      </c>
      <c r="W251">
        <v>225.839045</v>
      </c>
      <c r="X251">
        <v>195.91980406702501</v>
      </c>
      <c r="Y251" s="20" t="s">
        <v>64</v>
      </c>
      <c r="Z251">
        <v>1320</v>
      </c>
      <c r="AA251">
        <v>1440</v>
      </c>
      <c r="AB251">
        <v>2760</v>
      </c>
      <c r="AC251">
        <v>33.541019662496801</v>
      </c>
      <c r="AD251">
        <v>7.8102496759066504</v>
      </c>
      <c r="AE251">
        <v>7.8102496759066504</v>
      </c>
      <c r="AF251">
        <v>89.919794136462698</v>
      </c>
      <c r="AG251">
        <v>20.834852497149299</v>
      </c>
      <c r="AH251">
        <v>27.036986637699201</v>
      </c>
      <c r="AI251">
        <v>13.520187066706001</v>
      </c>
      <c r="AJ251">
        <v>24.297326538955801</v>
      </c>
      <c r="AK251">
        <v>18.319865410109799</v>
      </c>
      <c r="AL251" s="20">
        <v>11.808885834827899</v>
      </c>
      <c r="AM251" s="20">
        <v>7.7084888979617796</v>
      </c>
      <c r="AN251" s="20" t="s">
        <v>58</v>
      </c>
    </row>
    <row r="252" spans="1:40" x14ac:dyDescent="0.25">
      <c r="A252" s="20">
        <v>250</v>
      </c>
      <c r="B252" s="20" t="s">
        <v>317</v>
      </c>
      <c r="C252" s="20" t="s">
        <v>61</v>
      </c>
      <c r="D252">
        <v>1</v>
      </c>
      <c r="E252" s="20" t="str">
        <f t="shared" si="3"/>
        <v>WEIx</v>
      </c>
      <c r="F252" s="20">
        <v>52.768999999999998</v>
      </c>
      <c r="G252" s="20">
        <v>-131.92699999999999</v>
      </c>
      <c r="H252" s="20">
        <v>17</v>
      </c>
      <c r="I252" s="20">
        <v>7.83</v>
      </c>
      <c r="J252" s="20">
        <v>319</v>
      </c>
      <c r="K252" s="20">
        <v>29</v>
      </c>
      <c r="L252" s="20">
        <v>112.300354065126</v>
      </c>
      <c r="M252" s="20">
        <v>1.2437</v>
      </c>
      <c r="N252" s="20">
        <v>21</v>
      </c>
      <c r="O252" s="20">
        <v>9</v>
      </c>
      <c r="P252" s="20">
        <v>10</v>
      </c>
      <c r="Q252" s="20">
        <v>10</v>
      </c>
      <c r="R252">
        <v>210</v>
      </c>
      <c r="S252">
        <v>90</v>
      </c>
      <c r="T252">
        <v>60.149947089947098</v>
      </c>
      <c r="U252">
        <v>160</v>
      </c>
      <c r="V252">
        <v>80</v>
      </c>
      <c r="W252">
        <v>88.815156250000001</v>
      </c>
      <c r="X252">
        <v>83.841989623131994</v>
      </c>
      <c r="Y252" s="20" t="s">
        <v>76</v>
      </c>
      <c r="Z252" s="28">
        <v>4400</v>
      </c>
      <c r="AA252">
        <v>1200</v>
      </c>
      <c r="AB252">
        <v>5600</v>
      </c>
      <c r="AC252">
        <v>0</v>
      </c>
      <c r="AD252">
        <v>7.0710678118654799</v>
      </c>
      <c r="AE252">
        <v>25.495097567963899</v>
      </c>
      <c r="AF252">
        <v>57.686893727609402</v>
      </c>
      <c r="AG252">
        <v>49.851456557722599</v>
      </c>
      <c r="AH252">
        <v>21.7099258583326</v>
      </c>
      <c r="AI252">
        <v>20.1431372687479</v>
      </c>
      <c r="AJ252">
        <v>19.3682494005952</v>
      </c>
      <c r="AK252">
        <v>19.086362797795601</v>
      </c>
      <c r="AL252" s="20">
        <v>46.977086296406199</v>
      </c>
      <c r="AM252" s="20">
        <v>45.474213661150898</v>
      </c>
      <c r="AN252" s="20" t="s">
        <v>58</v>
      </c>
    </row>
    <row r="253" spans="1:40" x14ac:dyDescent="0.25">
      <c r="A253" s="20">
        <v>251</v>
      </c>
      <c r="B253" s="20" t="s">
        <v>318</v>
      </c>
      <c r="C253" s="20" t="s">
        <v>61</v>
      </c>
      <c r="D253">
        <v>0</v>
      </c>
      <c r="E253" s="20" t="str">
        <f t="shared" si="3"/>
        <v>LOPE</v>
      </c>
      <c r="F253" s="20">
        <v>10.085000000000001</v>
      </c>
      <c r="G253" s="20">
        <v>-85.314999999999998</v>
      </c>
      <c r="H253" s="20">
        <v>35</v>
      </c>
      <c r="I253" s="20">
        <v>7.6</v>
      </c>
      <c r="J253" s="20">
        <v>310</v>
      </c>
      <c r="K253" s="20">
        <v>24</v>
      </c>
      <c r="L253" s="20">
        <v>97</v>
      </c>
      <c r="M253" s="20">
        <v>12.22</v>
      </c>
      <c r="N253" s="20">
        <v>15</v>
      </c>
      <c r="O253" s="20">
        <v>15</v>
      </c>
      <c r="P253" s="20">
        <v>10</v>
      </c>
      <c r="Q253" s="20">
        <v>8</v>
      </c>
      <c r="R253">
        <v>150</v>
      </c>
      <c r="S253">
        <v>120</v>
      </c>
      <c r="T253">
        <v>54.259262239555603</v>
      </c>
      <c r="U253">
        <v>110</v>
      </c>
      <c r="V253">
        <v>96</v>
      </c>
      <c r="W253">
        <v>92.487378817424201</v>
      </c>
      <c r="X253">
        <v>79.575559041584398</v>
      </c>
      <c r="Y253" s="20" t="s">
        <v>57</v>
      </c>
      <c r="Z253">
        <v>2320</v>
      </c>
      <c r="AA253">
        <v>1360</v>
      </c>
      <c r="AB253">
        <v>3680</v>
      </c>
      <c r="AC253">
        <v>25.317977802344299</v>
      </c>
      <c r="AD253">
        <v>13</v>
      </c>
      <c r="AE253">
        <v>6.4031242374328503</v>
      </c>
      <c r="AF253">
        <v>136.99825867332001</v>
      </c>
      <c r="AG253">
        <v>105.793843101682</v>
      </c>
      <c r="AH253">
        <v>34.644285265258702</v>
      </c>
      <c r="AI253">
        <v>27.189122761504901</v>
      </c>
      <c r="AJ253">
        <v>22.007709607186499</v>
      </c>
      <c r="AK253">
        <v>17.743504780189198</v>
      </c>
      <c r="AL253" s="20">
        <v>4.7380636603996802</v>
      </c>
      <c r="AM253" s="20">
        <v>5.0756922138758602</v>
      </c>
      <c r="AN253" s="20" t="s">
        <v>58</v>
      </c>
    </row>
    <row r="254" spans="1:40" x14ac:dyDescent="0.25">
      <c r="A254" s="20">
        <v>252</v>
      </c>
      <c r="B254" s="20" t="s">
        <v>319</v>
      </c>
      <c r="C254" s="20" t="s">
        <v>61</v>
      </c>
      <c r="D254">
        <v>1</v>
      </c>
      <c r="E254" s="20" t="str">
        <f t="shared" si="3"/>
        <v>WEIx</v>
      </c>
      <c r="F254" s="20">
        <v>16.661999999999999</v>
      </c>
      <c r="G254" s="20">
        <v>-98.186999999999998</v>
      </c>
      <c r="H254" s="20">
        <v>20</v>
      </c>
      <c r="I254" s="20">
        <v>7.4</v>
      </c>
      <c r="J254" s="20">
        <v>283</v>
      </c>
      <c r="K254" s="20">
        <v>13</v>
      </c>
      <c r="L254" s="20">
        <v>84.595626157454504</v>
      </c>
      <c r="M254" s="20">
        <v>8.1900723641403399</v>
      </c>
      <c r="N254" s="20">
        <v>15</v>
      </c>
      <c r="O254" s="20">
        <v>20</v>
      </c>
      <c r="P254" s="20">
        <v>5</v>
      </c>
      <c r="Q254" s="20">
        <v>5</v>
      </c>
      <c r="R254">
        <v>75</v>
      </c>
      <c r="S254">
        <v>100</v>
      </c>
      <c r="T254">
        <v>41.1</v>
      </c>
      <c r="U254">
        <v>50</v>
      </c>
      <c r="V254">
        <v>55</v>
      </c>
      <c r="W254">
        <v>112.09090909090899</v>
      </c>
      <c r="X254">
        <v>134.34395508858199</v>
      </c>
      <c r="Y254" s="20" t="s">
        <v>64</v>
      </c>
      <c r="Z254">
        <v>525</v>
      </c>
      <c r="AA254">
        <v>325</v>
      </c>
      <c r="AB254">
        <v>850</v>
      </c>
      <c r="AC254">
        <v>21.5058131676066</v>
      </c>
      <c r="AD254">
        <v>7.9056941504209499</v>
      </c>
      <c r="AE254">
        <v>3.53553390593274</v>
      </c>
      <c r="AF254">
        <v>41.801868298742498</v>
      </c>
      <c r="AG254">
        <v>42.176868596782299</v>
      </c>
      <c r="AH254">
        <v>12.7110431178232</v>
      </c>
      <c r="AI254">
        <v>12.757364046159299</v>
      </c>
      <c r="AJ254">
        <v>10.3795616844458</v>
      </c>
      <c r="AK254">
        <v>10.5220021457868</v>
      </c>
      <c r="AL254" s="20">
        <v>1.27575071624515</v>
      </c>
      <c r="AM254" s="20">
        <v>1.0488105882379299</v>
      </c>
      <c r="AN254" s="20" t="s">
        <v>58</v>
      </c>
    </row>
    <row r="255" spans="1:40" x14ac:dyDescent="0.25">
      <c r="A255" s="20">
        <v>253</v>
      </c>
      <c r="B255" s="20" t="s">
        <v>320</v>
      </c>
      <c r="C255" s="20" t="s">
        <v>61</v>
      </c>
      <c r="D255">
        <v>1</v>
      </c>
      <c r="E255" s="20" t="str">
        <f t="shared" si="3"/>
        <v>HAYE</v>
      </c>
      <c r="F255" s="20">
        <v>16.5</v>
      </c>
      <c r="G255" s="20">
        <v>-98.22</v>
      </c>
      <c r="H255" s="20">
        <v>20</v>
      </c>
      <c r="I255" s="20">
        <v>7.42</v>
      </c>
      <c r="J255" s="20">
        <v>296</v>
      </c>
      <c r="K255" s="20">
        <v>13</v>
      </c>
      <c r="L255" s="20">
        <v>91.966414125869804</v>
      </c>
      <c r="M255" s="20">
        <v>7.09</v>
      </c>
      <c r="N255" s="20">
        <v>17</v>
      </c>
      <c r="O255" s="20">
        <v>27</v>
      </c>
      <c r="P255" s="20">
        <v>5</v>
      </c>
      <c r="Q255" s="20">
        <v>3.1</v>
      </c>
      <c r="R255" s="25">
        <v>85</v>
      </c>
      <c r="S255" s="25">
        <v>83.7</v>
      </c>
      <c r="T255" s="25">
        <v>62.518126361655803</v>
      </c>
      <c r="U255" s="25">
        <v>60</v>
      </c>
      <c r="V255" s="25">
        <v>58.9</v>
      </c>
      <c r="W255" s="25">
        <v>125.858859649123</v>
      </c>
      <c r="X255" s="25">
        <v>182.02619028590499</v>
      </c>
      <c r="Y255" s="20" t="s">
        <v>102</v>
      </c>
      <c r="Z255" s="29">
        <v>418.5</v>
      </c>
      <c r="AA255" s="25">
        <v>170.5</v>
      </c>
      <c r="AB255" s="25">
        <v>589</v>
      </c>
      <c r="AC255" s="25">
        <v>34.092117857358197</v>
      </c>
      <c r="AD255" s="25">
        <v>2.9415132160165398</v>
      </c>
      <c r="AE255" s="25">
        <v>2.9415132160165398</v>
      </c>
      <c r="AF255" s="25">
        <v>36.207071017079699</v>
      </c>
      <c r="AG255" s="25">
        <v>23.0855848837599</v>
      </c>
      <c r="AH255" s="25">
        <v>15.6919954690759</v>
      </c>
      <c r="AI255" s="25">
        <v>9.8411975251708501</v>
      </c>
      <c r="AJ255" s="25">
        <v>10.216372365379</v>
      </c>
      <c r="AK255" s="25">
        <v>6.1325651394605698</v>
      </c>
      <c r="AL255" s="20">
        <v>4.4787007055618302</v>
      </c>
      <c r="AM255" s="20">
        <v>3.6191711385343499</v>
      </c>
      <c r="AN255" s="20" t="s">
        <v>58</v>
      </c>
    </row>
    <row r="256" spans="1:40" x14ac:dyDescent="0.25">
      <c r="A256" s="20">
        <v>254</v>
      </c>
      <c r="B256" s="20" t="s">
        <v>321</v>
      </c>
      <c r="C256" s="20" t="s">
        <v>61</v>
      </c>
      <c r="D256">
        <v>1</v>
      </c>
      <c r="E256" s="20" t="str">
        <f t="shared" si="3"/>
        <v>HAYE</v>
      </c>
      <c r="F256" s="20">
        <v>12.14</v>
      </c>
      <c r="G256" s="20">
        <v>-88.59</v>
      </c>
      <c r="H256" s="20">
        <v>11.8</v>
      </c>
      <c r="I256" s="20">
        <v>7.32</v>
      </c>
      <c r="J256" s="20">
        <v>284</v>
      </c>
      <c r="K256" s="20">
        <v>15</v>
      </c>
      <c r="L256" s="20">
        <v>76.142249216051198</v>
      </c>
      <c r="M256" s="20">
        <v>0.02</v>
      </c>
      <c r="N256" s="20">
        <v>19</v>
      </c>
      <c r="O256" s="20">
        <v>14</v>
      </c>
      <c r="P256" s="20">
        <v>8</v>
      </c>
      <c r="Q256" s="20">
        <v>7</v>
      </c>
      <c r="R256">
        <v>152</v>
      </c>
      <c r="S256">
        <v>98</v>
      </c>
      <c r="T256">
        <v>27.398909774436099</v>
      </c>
      <c r="U256">
        <v>128</v>
      </c>
      <c r="V256">
        <v>84</v>
      </c>
      <c r="W256">
        <v>37.958906249999998</v>
      </c>
      <c r="X256">
        <v>36.826900214335502</v>
      </c>
      <c r="Y256" s="20" t="s">
        <v>102</v>
      </c>
      <c r="Z256">
        <v>2856</v>
      </c>
      <c r="AA256">
        <v>448</v>
      </c>
      <c r="AB256">
        <v>3304</v>
      </c>
      <c r="AC256">
        <v>69.095947782775198</v>
      </c>
      <c r="AD256">
        <v>5.3150729063673303</v>
      </c>
      <c r="AE256">
        <v>11.2361025271221</v>
      </c>
      <c r="AF256">
        <v>56.615895427828598</v>
      </c>
      <c r="AG256">
        <v>32.299309915947902</v>
      </c>
      <c r="AH256">
        <v>29.958110445785799</v>
      </c>
      <c r="AI256">
        <v>19.041443428218201</v>
      </c>
      <c r="AJ256">
        <v>16.120600379039299</v>
      </c>
      <c r="AK256">
        <v>13.0148084030084</v>
      </c>
      <c r="AL256" s="20">
        <v>37.788885442415499</v>
      </c>
      <c r="AM256" s="20">
        <v>14.943345098738799</v>
      </c>
      <c r="AN256" s="20" t="s">
        <v>58</v>
      </c>
    </row>
    <row r="257" spans="1:40" x14ac:dyDescent="0.25">
      <c r="A257" s="20">
        <v>255</v>
      </c>
      <c r="B257" s="20" t="s">
        <v>322</v>
      </c>
      <c r="C257" s="20" t="s">
        <v>63</v>
      </c>
      <c r="D257">
        <v>0</v>
      </c>
      <c r="E257" s="20" t="str">
        <f t="shared" si="3"/>
        <v>SHAO</v>
      </c>
      <c r="F257" s="20">
        <v>2.31</v>
      </c>
      <c r="G257" s="20">
        <v>93.06</v>
      </c>
      <c r="H257" s="20">
        <v>22.9</v>
      </c>
      <c r="I257" s="20">
        <v>8.64</v>
      </c>
      <c r="J257" s="20">
        <v>20</v>
      </c>
      <c r="K257" s="20">
        <v>80</v>
      </c>
      <c r="L257" s="20">
        <v>-1.8675943192954201</v>
      </c>
      <c r="M257" s="20">
        <v>5.6658806174694796</v>
      </c>
      <c r="N257" s="20">
        <v>19</v>
      </c>
      <c r="O257" s="20">
        <v>8</v>
      </c>
      <c r="P257" s="20">
        <v>20</v>
      </c>
      <c r="Q257" s="20">
        <v>5</v>
      </c>
      <c r="R257">
        <v>380</v>
      </c>
      <c r="S257">
        <v>40</v>
      </c>
      <c r="T257">
        <v>1307.88805355263</v>
      </c>
      <c r="U257">
        <v>300</v>
      </c>
      <c r="V257">
        <v>35</v>
      </c>
      <c r="W257">
        <v>1893.3236584761901</v>
      </c>
      <c r="X257">
        <v>1589.9197522412601</v>
      </c>
      <c r="Y257" s="20" t="s">
        <v>64</v>
      </c>
      <c r="Z257">
        <v>2500</v>
      </c>
      <c r="AA257">
        <v>1300</v>
      </c>
      <c r="AB257">
        <v>3800</v>
      </c>
      <c r="AC257">
        <v>131.93274801958799</v>
      </c>
      <c r="AD257">
        <v>10.3077640640442</v>
      </c>
      <c r="AE257">
        <v>10.3077640640442</v>
      </c>
      <c r="AF257">
        <v>261.83529416930799</v>
      </c>
      <c r="AG257">
        <v>18.8125995407561</v>
      </c>
      <c r="AH257">
        <v>77.304149023544198</v>
      </c>
      <c r="AI257">
        <v>10.647111581956599</v>
      </c>
      <c r="AJ257">
        <v>43.496053319620898</v>
      </c>
      <c r="AK257">
        <v>9.9638882995286497</v>
      </c>
      <c r="AL257" s="20">
        <v>26.185111986776</v>
      </c>
      <c r="AM257" s="20">
        <v>31.832034093032799</v>
      </c>
      <c r="AN257" s="20" t="s">
        <v>58</v>
      </c>
    </row>
    <row r="258" spans="1:40" x14ac:dyDescent="0.25">
      <c r="A258" s="20">
        <v>256</v>
      </c>
      <c r="B258" s="20" t="s">
        <v>323</v>
      </c>
      <c r="C258" s="20" t="s">
        <v>63</v>
      </c>
      <c r="D258">
        <v>0</v>
      </c>
      <c r="E258" s="20" t="str">
        <f t="shared" si="3"/>
        <v>WEIx</v>
      </c>
      <c r="F258" s="20">
        <v>2.3109999999999999</v>
      </c>
      <c r="G258" s="20">
        <v>93.063000000000002</v>
      </c>
      <c r="H258" s="20">
        <v>22</v>
      </c>
      <c r="I258" s="20">
        <v>8.57</v>
      </c>
      <c r="J258" s="20">
        <v>20</v>
      </c>
      <c r="K258" s="20">
        <v>64</v>
      </c>
      <c r="L258" s="20">
        <v>0.52640973577752204</v>
      </c>
      <c r="M258" s="20">
        <v>4.0241199999999999</v>
      </c>
      <c r="N258" s="20">
        <v>32</v>
      </c>
      <c r="O258" s="20">
        <v>12</v>
      </c>
      <c r="P258" s="20">
        <v>12</v>
      </c>
      <c r="Q258" s="20">
        <v>5</v>
      </c>
      <c r="R258">
        <v>384</v>
      </c>
      <c r="S258">
        <v>60</v>
      </c>
      <c r="T258">
        <v>872.39583333333303</v>
      </c>
      <c r="U258">
        <v>372</v>
      </c>
      <c r="V258">
        <v>50</v>
      </c>
      <c r="W258">
        <v>1080.6451612903199</v>
      </c>
      <c r="X258">
        <v>885.016438903824</v>
      </c>
      <c r="Y258" s="20" t="s">
        <v>76</v>
      </c>
      <c r="Z258">
        <v>4980</v>
      </c>
      <c r="AA258">
        <v>2280</v>
      </c>
      <c r="AB258">
        <v>7260</v>
      </c>
      <c r="AC258">
        <v>166.28364321243399</v>
      </c>
      <c r="AD258">
        <v>6.5</v>
      </c>
      <c r="AE258">
        <v>6.5</v>
      </c>
      <c r="AF258">
        <v>242.23527947445001</v>
      </c>
      <c r="AG258">
        <v>54.3730143393379</v>
      </c>
      <c r="AH258">
        <v>55.409131985547198</v>
      </c>
      <c r="AI258">
        <v>17.936965098124698</v>
      </c>
      <c r="AJ258">
        <v>27.634415869264199</v>
      </c>
      <c r="AK258">
        <v>11.1459445934731</v>
      </c>
      <c r="AL258" s="20">
        <v>22.607715052167499</v>
      </c>
      <c r="AM258" s="20">
        <v>53.940286853148997</v>
      </c>
      <c r="AN258" s="20" t="s">
        <v>58</v>
      </c>
    </row>
    <row r="259" spans="1:40" x14ac:dyDescent="0.25">
      <c r="A259" s="20">
        <v>257</v>
      </c>
      <c r="B259" s="20" t="s">
        <v>324</v>
      </c>
      <c r="C259" s="20" t="s">
        <v>63</v>
      </c>
      <c r="D259">
        <v>0</v>
      </c>
      <c r="E259" s="20" t="str">
        <f t="shared" ref="E259:E305" si="4">RIGHT(B259,4)</f>
        <v>HAYE</v>
      </c>
      <c r="F259" s="20">
        <v>2.4300000000000002</v>
      </c>
      <c r="G259" s="20">
        <v>93.21</v>
      </c>
      <c r="H259" s="20">
        <v>19</v>
      </c>
      <c r="I259" s="20">
        <v>7.18</v>
      </c>
      <c r="J259" s="20">
        <v>12</v>
      </c>
      <c r="K259" s="20">
        <v>83</v>
      </c>
      <c r="L259" s="20">
        <v>-12.2097428479514</v>
      </c>
      <c r="M259" s="20">
        <v>5.0999999999999996</v>
      </c>
      <c r="N259" s="20">
        <v>31</v>
      </c>
      <c r="O259" s="20">
        <v>7</v>
      </c>
      <c r="P259" s="20">
        <v>5</v>
      </c>
      <c r="Q259" s="20">
        <v>4</v>
      </c>
      <c r="R259" s="25">
        <v>155</v>
      </c>
      <c r="S259" s="25">
        <v>28</v>
      </c>
      <c r="T259" s="25">
        <v>43.355944700460803</v>
      </c>
      <c r="U259" s="25">
        <v>100</v>
      </c>
      <c r="V259" s="25">
        <v>20</v>
      </c>
      <c r="W259" s="25">
        <v>94.082400000000007</v>
      </c>
      <c r="X259" s="25">
        <v>102.738240845056</v>
      </c>
      <c r="Y259" s="20" t="s">
        <v>102</v>
      </c>
      <c r="Z259" s="25">
        <v>280</v>
      </c>
      <c r="AA259" s="25">
        <v>360</v>
      </c>
      <c r="AB259" s="25">
        <v>640</v>
      </c>
      <c r="AC259" s="25">
        <v>59.7515690170559</v>
      </c>
      <c r="AD259" s="25">
        <v>3.2015621187164198</v>
      </c>
      <c r="AE259" s="25">
        <v>6.5</v>
      </c>
      <c r="AF259" s="25">
        <v>41.779157436543898</v>
      </c>
      <c r="AG259" s="25">
        <v>9.7501316373456195</v>
      </c>
      <c r="AH259" s="25">
        <v>45.6055677110011</v>
      </c>
      <c r="AI259" s="25">
        <v>9.8653464208194297</v>
      </c>
      <c r="AJ259" s="25">
        <v>10.0055173789096</v>
      </c>
      <c r="AK259" s="25">
        <v>7.2366988648091803</v>
      </c>
      <c r="AL259" s="20">
        <v>10.4726710021847</v>
      </c>
      <c r="AM259" s="20">
        <v>8.7424067910387198</v>
      </c>
      <c r="AN259" s="20" t="s">
        <v>58</v>
      </c>
    </row>
    <row r="260" spans="1:40" x14ac:dyDescent="0.25">
      <c r="A260" s="20">
        <v>258</v>
      </c>
      <c r="B260" s="20" t="s">
        <v>325</v>
      </c>
      <c r="C260" s="20" t="s">
        <v>63</v>
      </c>
      <c r="D260">
        <v>0</v>
      </c>
      <c r="E260" s="20" t="str">
        <f t="shared" si="4"/>
        <v>HAYE</v>
      </c>
      <c r="F260" s="20">
        <v>2.3483999999999998</v>
      </c>
      <c r="G260" s="20">
        <v>93.072500000000005</v>
      </c>
      <c r="H260" s="20">
        <v>23</v>
      </c>
      <c r="I260" s="20">
        <v>8.65</v>
      </c>
      <c r="J260" s="20">
        <v>108.34</v>
      </c>
      <c r="K260" s="20">
        <v>86.98</v>
      </c>
      <c r="L260" s="20">
        <v>171.28131149924999</v>
      </c>
      <c r="M260" s="20">
        <v>2.02</v>
      </c>
      <c r="N260" s="20">
        <v>22</v>
      </c>
      <c r="O260" s="20">
        <v>8</v>
      </c>
      <c r="P260" s="20">
        <v>15</v>
      </c>
      <c r="Q260" s="20">
        <v>6</v>
      </c>
      <c r="R260" s="25">
        <v>330</v>
      </c>
      <c r="S260" s="25">
        <v>48</v>
      </c>
      <c r="T260" s="25">
        <v>1409.7223295454501</v>
      </c>
      <c r="U260" s="25">
        <v>300</v>
      </c>
      <c r="V260" s="25">
        <v>48</v>
      </c>
      <c r="W260" s="25">
        <v>1550.6945625000001</v>
      </c>
      <c r="X260" s="25">
        <v>1196.8946602695401</v>
      </c>
      <c r="Y260" s="20" t="s">
        <v>102</v>
      </c>
      <c r="Z260" s="25">
        <v>3870</v>
      </c>
      <c r="AA260" s="25">
        <v>810</v>
      </c>
      <c r="AB260" s="25">
        <v>4680</v>
      </c>
      <c r="AC260" s="25">
        <v>204.24801100622699</v>
      </c>
      <c r="AD260" s="25">
        <v>8.0777472107017605</v>
      </c>
      <c r="AE260" s="25">
        <v>11.715374513860001</v>
      </c>
      <c r="AF260" s="25">
        <v>110.106957627081</v>
      </c>
      <c r="AG260" s="25">
        <v>36.249378435179999</v>
      </c>
      <c r="AH260" s="25">
        <v>40.098268419833303</v>
      </c>
      <c r="AI260" s="25">
        <v>14.5620823754656</v>
      </c>
      <c r="AJ260" s="25">
        <v>29.985775185770098</v>
      </c>
      <c r="AK260" s="25">
        <v>11.8565550837566</v>
      </c>
      <c r="AL260" s="20">
        <v>36.3008318676032</v>
      </c>
      <c r="AM260" s="20">
        <v>15.5996081659124</v>
      </c>
      <c r="AN260" s="20" t="s">
        <v>58</v>
      </c>
    </row>
    <row r="261" spans="1:40" x14ac:dyDescent="0.25">
      <c r="A261" s="20">
        <v>259</v>
      </c>
      <c r="B261" s="20" t="s">
        <v>326</v>
      </c>
      <c r="C261" s="20" t="s">
        <v>56</v>
      </c>
      <c r="D261">
        <v>1</v>
      </c>
      <c r="E261" s="20" t="str">
        <f t="shared" si="4"/>
        <v>HAYE</v>
      </c>
      <c r="F261" s="20">
        <v>55.291800000000002</v>
      </c>
      <c r="G261" s="20">
        <v>-134.7277</v>
      </c>
      <c r="H261" s="20">
        <v>12</v>
      </c>
      <c r="I261" s="20">
        <v>7.55</v>
      </c>
      <c r="J261" s="20">
        <v>335.78</v>
      </c>
      <c r="K261" s="20">
        <v>73.45</v>
      </c>
      <c r="L261" s="20">
        <v>-178.080382434661</v>
      </c>
      <c r="M261" s="20">
        <v>2.41</v>
      </c>
      <c r="N261" s="20">
        <v>32</v>
      </c>
      <c r="O261" s="20">
        <v>6</v>
      </c>
      <c r="P261" s="20">
        <v>5</v>
      </c>
      <c r="Q261" s="20">
        <v>4</v>
      </c>
      <c r="R261" s="25">
        <v>160</v>
      </c>
      <c r="S261" s="25">
        <v>24</v>
      </c>
      <c r="T261" s="25">
        <v>188.48927083333299</v>
      </c>
      <c r="U261" s="25">
        <v>90</v>
      </c>
      <c r="V261" s="25">
        <v>24</v>
      </c>
      <c r="W261" s="25">
        <v>335.09203703703702</v>
      </c>
      <c r="X261" s="25">
        <v>321.58361815493402</v>
      </c>
      <c r="Y261" s="20" t="s">
        <v>102</v>
      </c>
      <c r="Z261" s="25">
        <v>480</v>
      </c>
      <c r="AA261" s="25">
        <v>340</v>
      </c>
      <c r="AB261" s="25">
        <v>820</v>
      </c>
      <c r="AC261" s="25">
        <v>50.002499937503103</v>
      </c>
      <c r="AD261" s="25">
        <v>3.2015621187164198</v>
      </c>
      <c r="AE261" s="25">
        <v>3.2015621187164198</v>
      </c>
      <c r="AF261" s="25">
        <v>51.168385103257002</v>
      </c>
      <c r="AG261" s="25">
        <v>19.2287726686478</v>
      </c>
      <c r="AH261" s="25">
        <v>19.782723205618801</v>
      </c>
      <c r="AI261" s="25">
        <v>10.4151624120435</v>
      </c>
      <c r="AJ261" s="25">
        <v>10.425799035269399</v>
      </c>
      <c r="AK261" s="25">
        <v>7.8956841854921196</v>
      </c>
      <c r="AL261" s="20">
        <v>16.746325812249101</v>
      </c>
      <c r="AM261" s="20">
        <v>14.385239975752899</v>
      </c>
      <c r="AN261" s="20" t="s">
        <v>58</v>
      </c>
    </row>
    <row r="262" spans="1:40" x14ac:dyDescent="0.25">
      <c r="A262" s="20">
        <v>260</v>
      </c>
      <c r="B262" s="20" t="s">
        <v>327</v>
      </c>
      <c r="C262" s="20" t="s">
        <v>80</v>
      </c>
      <c r="D262">
        <v>0</v>
      </c>
      <c r="E262" s="20" t="str">
        <f t="shared" si="4"/>
        <v>HAYE</v>
      </c>
      <c r="F262" s="20">
        <v>-23.01</v>
      </c>
      <c r="G262" s="20">
        <v>-177.23</v>
      </c>
      <c r="H262" s="20">
        <v>174</v>
      </c>
      <c r="I262" s="20">
        <v>7.39</v>
      </c>
      <c r="J262" s="20">
        <v>15</v>
      </c>
      <c r="K262" s="20">
        <v>79</v>
      </c>
      <c r="L262" s="20">
        <v>-84.087166351403098</v>
      </c>
      <c r="M262" s="20">
        <v>140.62</v>
      </c>
      <c r="N262" s="20">
        <v>17</v>
      </c>
      <c r="O262" s="20">
        <v>17</v>
      </c>
      <c r="P262" s="20">
        <v>5</v>
      </c>
      <c r="Q262" s="20">
        <v>4</v>
      </c>
      <c r="R262" s="25">
        <v>85</v>
      </c>
      <c r="S262" s="25">
        <v>68</v>
      </c>
      <c r="T262" s="25">
        <v>40.3443252595156</v>
      </c>
      <c r="U262" s="25">
        <v>40</v>
      </c>
      <c r="V262" s="25">
        <v>32</v>
      </c>
      <c r="W262" s="25">
        <v>182.17984375</v>
      </c>
      <c r="X262" s="25">
        <v>184.068749502293</v>
      </c>
      <c r="Y262" s="20" t="s">
        <v>102</v>
      </c>
      <c r="Z262" s="25">
        <v>260</v>
      </c>
      <c r="AA262" s="25">
        <v>180</v>
      </c>
      <c r="AB262" s="25">
        <v>440</v>
      </c>
      <c r="AC262" s="25">
        <v>14.221462653327899</v>
      </c>
      <c r="AD262" s="25">
        <v>3.2015621187164198</v>
      </c>
      <c r="AE262" s="25">
        <v>3.2015621187164198</v>
      </c>
      <c r="AF262" s="25">
        <v>48.191293596236299</v>
      </c>
      <c r="AG262" s="25">
        <v>27.088805680735199</v>
      </c>
      <c r="AH262" s="25">
        <v>13.8088064116839</v>
      </c>
      <c r="AI262" s="25">
        <v>9.1392457952861594</v>
      </c>
      <c r="AJ262" s="25">
        <v>10.698660130593501</v>
      </c>
      <c r="AK262" s="25">
        <v>8.2135804207558092</v>
      </c>
      <c r="AL262" s="20">
        <v>10.268245046257899</v>
      </c>
      <c r="AM262" s="20">
        <v>9.95778626000779</v>
      </c>
      <c r="AN262" s="20" t="s">
        <v>58</v>
      </c>
    </row>
    <row r="263" spans="1:40" x14ac:dyDescent="0.25">
      <c r="A263" s="20">
        <v>261</v>
      </c>
      <c r="B263" s="20" t="s">
        <v>328</v>
      </c>
      <c r="C263" s="20" t="s">
        <v>80</v>
      </c>
      <c r="D263">
        <v>0</v>
      </c>
      <c r="E263" s="20" t="str">
        <f t="shared" si="4"/>
        <v>HAYE</v>
      </c>
      <c r="F263" s="20">
        <v>27.86</v>
      </c>
      <c r="G263" s="20">
        <v>62.15</v>
      </c>
      <c r="H263" s="20">
        <v>60</v>
      </c>
      <c r="I263" s="20">
        <v>7.73</v>
      </c>
      <c r="J263" s="20">
        <v>232</v>
      </c>
      <c r="K263" s="20">
        <v>61.7</v>
      </c>
      <c r="L263" s="20">
        <v>-111.309098375171</v>
      </c>
      <c r="M263" s="20">
        <v>7.3</v>
      </c>
      <c r="N263" s="20">
        <v>18</v>
      </c>
      <c r="O263" s="20">
        <v>19</v>
      </c>
      <c r="P263" s="20">
        <v>8</v>
      </c>
      <c r="Q263" s="20">
        <v>5.7</v>
      </c>
      <c r="R263" s="25">
        <v>144</v>
      </c>
      <c r="S263" s="25">
        <v>108.3</v>
      </c>
      <c r="T263" s="25">
        <v>55.191432748537999</v>
      </c>
      <c r="U263" s="25">
        <v>96</v>
      </c>
      <c r="V263" s="25">
        <v>85.5</v>
      </c>
      <c r="W263" s="25">
        <v>104.86372222222199</v>
      </c>
      <c r="X263" s="25">
        <v>106.076666247647</v>
      </c>
      <c r="Y263" s="20" t="s">
        <v>102</v>
      </c>
      <c r="Z263" s="25">
        <v>1504.8</v>
      </c>
      <c r="AA263" s="25">
        <v>775.2</v>
      </c>
      <c r="AB263" s="25">
        <v>2280</v>
      </c>
      <c r="AC263" s="25">
        <v>34.380263233430902</v>
      </c>
      <c r="AD263" s="25">
        <v>4.9114661762044101</v>
      </c>
      <c r="AE263" s="25">
        <v>4.9114661762044101</v>
      </c>
      <c r="AF263" s="25">
        <v>64.844393710463507</v>
      </c>
      <c r="AG263" s="25">
        <v>43.197414481909803</v>
      </c>
      <c r="AH263" s="25">
        <v>26.092194264643599</v>
      </c>
      <c r="AI263" s="25">
        <v>17.8033123548629</v>
      </c>
      <c r="AJ263" s="25">
        <v>16.4115403139329</v>
      </c>
      <c r="AK263" s="25">
        <v>11.5820992509846</v>
      </c>
      <c r="AL263" s="20">
        <v>9.3707685159756196</v>
      </c>
      <c r="AM263" s="20">
        <v>7.6177177323657697</v>
      </c>
      <c r="AN263" s="20" t="s">
        <v>58</v>
      </c>
    </row>
    <row r="264" spans="1:40" x14ac:dyDescent="0.25">
      <c r="A264" s="20">
        <v>262</v>
      </c>
      <c r="B264" s="20" t="s">
        <v>329</v>
      </c>
      <c r="C264" s="20" t="s">
        <v>80</v>
      </c>
      <c r="D264">
        <v>0</v>
      </c>
      <c r="E264" s="20" t="str">
        <f t="shared" si="4"/>
        <v>WEIx</v>
      </c>
      <c r="F264" s="20">
        <v>28.113399999999999</v>
      </c>
      <c r="G264" s="20">
        <v>62.048000000000002</v>
      </c>
      <c r="H264" s="20">
        <v>83.365300000000005</v>
      </c>
      <c r="I264" s="20">
        <v>7.8</v>
      </c>
      <c r="J264" s="20">
        <v>239</v>
      </c>
      <c r="K264" s="20">
        <v>55</v>
      </c>
      <c r="L264" s="20">
        <v>-100.678623522848</v>
      </c>
      <c r="M264" s="20">
        <v>60.838619889277503</v>
      </c>
      <c r="N264" s="20">
        <v>19</v>
      </c>
      <c r="O264" s="20">
        <v>11</v>
      </c>
      <c r="P264" s="20">
        <v>10</v>
      </c>
      <c r="Q264" s="20">
        <v>5</v>
      </c>
      <c r="R264">
        <v>190</v>
      </c>
      <c r="S264">
        <v>55</v>
      </c>
      <c r="T264">
        <v>67.690762679425902</v>
      </c>
      <c r="U264">
        <v>80</v>
      </c>
      <c r="V264">
        <v>45</v>
      </c>
      <c r="W264">
        <v>196.49124166666701</v>
      </c>
      <c r="X264">
        <v>164.415646770552</v>
      </c>
      <c r="Y264" s="20" t="s">
        <v>64</v>
      </c>
      <c r="Z264">
        <v>850</v>
      </c>
      <c r="AA264">
        <v>700</v>
      </c>
      <c r="AB264">
        <v>1550</v>
      </c>
      <c r="AC264">
        <v>0</v>
      </c>
      <c r="AD264">
        <v>5.5901699437494701</v>
      </c>
      <c r="AE264">
        <v>5.5901699437494701</v>
      </c>
      <c r="AF264">
        <v>90.076249295382695</v>
      </c>
      <c r="AG264">
        <v>40.2642084372293</v>
      </c>
      <c r="AH264">
        <v>28.785559026485998</v>
      </c>
      <c r="AI264">
        <v>13.3719096061778</v>
      </c>
      <c r="AJ264">
        <v>21.248216164114201</v>
      </c>
      <c r="AK264">
        <v>10.0568490429477</v>
      </c>
      <c r="AL264" s="20">
        <v>9.9686979049422497</v>
      </c>
      <c r="AM264" s="20">
        <v>9.7873749989463494</v>
      </c>
      <c r="AN264" s="20" t="s">
        <v>58</v>
      </c>
    </row>
    <row r="265" spans="1:40" x14ac:dyDescent="0.25">
      <c r="A265" s="20">
        <v>263</v>
      </c>
      <c r="B265" s="20" t="s">
        <v>330</v>
      </c>
      <c r="C265" s="20" t="s">
        <v>80</v>
      </c>
      <c r="D265">
        <v>0</v>
      </c>
      <c r="E265" s="20" t="str">
        <f t="shared" si="4"/>
        <v>YExx</v>
      </c>
      <c r="F265" s="20">
        <v>54.874000000000002</v>
      </c>
      <c r="G265" s="20">
        <v>153.28100000000001</v>
      </c>
      <c r="H265" s="20">
        <v>608</v>
      </c>
      <c r="I265" s="20">
        <v>8.3000000000000007</v>
      </c>
      <c r="J265" s="20">
        <v>184</v>
      </c>
      <c r="K265" s="20">
        <v>10</v>
      </c>
      <c r="L265" s="20">
        <v>-98.997208927788193</v>
      </c>
      <c r="M265" s="20">
        <v>601.48900000000003</v>
      </c>
      <c r="N265" s="20">
        <v>13</v>
      </c>
      <c r="O265" s="20">
        <v>4</v>
      </c>
      <c r="P265" s="20">
        <v>15</v>
      </c>
      <c r="Q265" s="20">
        <v>15</v>
      </c>
      <c r="R265">
        <v>195</v>
      </c>
      <c r="S265">
        <v>60</v>
      </c>
      <c r="T265">
        <v>381.821153846154</v>
      </c>
      <c r="U265">
        <v>180</v>
      </c>
      <c r="V265">
        <v>60</v>
      </c>
      <c r="W265">
        <v>413.63958333333301</v>
      </c>
      <c r="X265">
        <v>247.39971797029901</v>
      </c>
      <c r="Y265" s="20" t="s">
        <v>76</v>
      </c>
      <c r="Z265">
        <v>3600</v>
      </c>
      <c r="AA265">
        <v>2250</v>
      </c>
      <c r="AB265">
        <v>5850</v>
      </c>
      <c r="AC265">
        <v>99.564386615317204</v>
      </c>
      <c r="AD265">
        <v>10.1996105132251</v>
      </c>
      <c r="AE265">
        <v>23.653442379868999</v>
      </c>
      <c r="AF265">
        <v>98.198897984087395</v>
      </c>
      <c r="AG265">
        <v>39.900577341590299</v>
      </c>
      <c r="AH265">
        <v>31.873341374626701</v>
      </c>
      <c r="AI265">
        <v>20.006908747624301</v>
      </c>
      <c r="AJ265">
        <v>29.716589682554801</v>
      </c>
      <c r="AK265">
        <v>26.634595690543399</v>
      </c>
      <c r="AL265" s="20">
        <v>53.781374395067502</v>
      </c>
      <c r="AM265" s="20">
        <v>44.956807179136298</v>
      </c>
      <c r="AN265" s="20" t="s">
        <v>58</v>
      </c>
    </row>
    <row r="266" spans="1:40" x14ac:dyDescent="0.25">
      <c r="A266" s="20">
        <v>264</v>
      </c>
      <c r="B266" s="20" t="s">
        <v>331</v>
      </c>
      <c r="C266" s="20" t="s">
        <v>61</v>
      </c>
      <c r="D266">
        <v>1</v>
      </c>
      <c r="E266" s="20" t="str">
        <f t="shared" si="4"/>
        <v>HAYE</v>
      </c>
      <c r="F266" s="20">
        <v>-10.7377</v>
      </c>
      <c r="G266" s="20">
        <v>165.1378</v>
      </c>
      <c r="H266" s="20">
        <v>28.7</v>
      </c>
      <c r="I266" s="20">
        <v>8.0299999999999994</v>
      </c>
      <c r="J266" s="20">
        <v>308</v>
      </c>
      <c r="K266" s="20">
        <v>18</v>
      </c>
      <c r="L266" s="20">
        <v>64.230686708448204</v>
      </c>
      <c r="M266" s="20">
        <v>6.6</v>
      </c>
      <c r="N266" s="20">
        <v>20</v>
      </c>
      <c r="O266" s="20">
        <v>13</v>
      </c>
      <c r="P266" s="20">
        <v>13</v>
      </c>
      <c r="Q266" s="20">
        <v>11</v>
      </c>
      <c r="R266" s="25">
        <v>260</v>
      </c>
      <c r="S266" s="25">
        <v>143</v>
      </c>
      <c r="T266" s="25">
        <v>60.995384615384602</v>
      </c>
      <c r="U266" s="25">
        <v>221</v>
      </c>
      <c r="V266" s="25">
        <v>143</v>
      </c>
      <c r="W266" s="25">
        <v>71.759276018099598</v>
      </c>
      <c r="X266" s="25">
        <v>72.801091762323196</v>
      </c>
      <c r="Y266" s="20" t="s">
        <v>102</v>
      </c>
      <c r="Z266" s="25">
        <v>2288</v>
      </c>
      <c r="AA266" s="25">
        <v>286</v>
      </c>
      <c r="AB266" s="25">
        <v>2574</v>
      </c>
      <c r="AC266" s="25">
        <v>50.383529054642501</v>
      </c>
      <c r="AD266" s="25">
        <v>8.5146931829631995</v>
      </c>
      <c r="AE266" s="25">
        <v>8.5146931829631995</v>
      </c>
      <c r="AF266" s="25">
        <v>69.484020737322396</v>
      </c>
      <c r="AG266" s="25">
        <v>49.6036011905028</v>
      </c>
      <c r="AH266" s="25">
        <v>50.4008413955573</v>
      </c>
      <c r="AI266" s="25">
        <v>36.878074029061899</v>
      </c>
      <c r="AJ266" s="25">
        <v>24.747092518767101</v>
      </c>
      <c r="AK266" s="25">
        <v>20.233911303720099</v>
      </c>
      <c r="AL266" s="20">
        <v>2.73467951321539</v>
      </c>
      <c r="AM266" s="20">
        <v>10.516650615095999</v>
      </c>
      <c r="AN266" s="20" t="s">
        <v>58</v>
      </c>
    </row>
    <row r="267" spans="1:40" x14ac:dyDescent="0.25">
      <c r="A267" s="20">
        <v>265</v>
      </c>
      <c r="B267" s="20" t="s">
        <v>332</v>
      </c>
      <c r="C267" s="20" t="s">
        <v>61</v>
      </c>
      <c r="D267">
        <v>1</v>
      </c>
      <c r="E267" s="20" t="str">
        <f t="shared" si="4"/>
        <v>LAYx</v>
      </c>
      <c r="F267" s="20">
        <v>-10.738</v>
      </c>
      <c r="G267" s="20">
        <v>165.13800000000001</v>
      </c>
      <c r="H267" s="20">
        <v>12.7</v>
      </c>
      <c r="I267" s="20">
        <v>8.06</v>
      </c>
      <c r="J267" s="20">
        <v>309</v>
      </c>
      <c r="K267" s="20">
        <v>17</v>
      </c>
      <c r="L267" s="20">
        <v>61.659657873553499</v>
      </c>
      <c r="M267" s="20">
        <v>3.49</v>
      </c>
      <c r="N267" s="20">
        <v>16</v>
      </c>
      <c r="O267" s="20">
        <v>10</v>
      </c>
      <c r="P267" s="20">
        <v>9</v>
      </c>
      <c r="Q267" s="20">
        <v>9</v>
      </c>
      <c r="R267">
        <v>144</v>
      </c>
      <c r="S267">
        <v>90</v>
      </c>
      <c r="T267">
        <v>285.55193750000001</v>
      </c>
      <c r="U267">
        <v>144</v>
      </c>
      <c r="V267">
        <v>90</v>
      </c>
      <c r="W267">
        <v>285.55193750000001</v>
      </c>
      <c r="X267">
        <v>281.49798477444102</v>
      </c>
      <c r="Y267" s="20" t="s">
        <v>76</v>
      </c>
      <c r="Z267">
        <v>1944</v>
      </c>
      <c r="AA267">
        <v>972</v>
      </c>
      <c r="AB267">
        <v>2916</v>
      </c>
      <c r="AC267">
        <v>85.593009152306607</v>
      </c>
      <c r="AD267">
        <v>5.5478406489759102</v>
      </c>
      <c r="AE267">
        <v>5.5478406489759102</v>
      </c>
      <c r="AF267">
        <v>96.287423000965802</v>
      </c>
      <c r="AG267">
        <v>23.842994594082199</v>
      </c>
      <c r="AH267">
        <v>26.1286841985569</v>
      </c>
      <c r="AI267">
        <v>13.2156517717511</v>
      </c>
      <c r="AJ267">
        <v>19.848504281179601</v>
      </c>
      <c r="AK267">
        <v>16.6489998651174</v>
      </c>
      <c r="AL267" s="20">
        <v>15.5407942919568</v>
      </c>
      <c r="AM267" s="20">
        <v>8.2228750236201797</v>
      </c>
      <c r="AN267" s="20" t="s">
        <v>58</v>
      </c>
    </row>
    <row r="268" spans="1:40" x14ac:dyDescent="0.25">
      <c r="A268" s="20">
        <v>266</v>
      </c>
      <c r="B268" s="20" t="s">
        <v>333</v>
      </c>
      <c r="C268" s="20" t="s">
        <v>63</v>
      </c>
      <c r="D268">
        <v>0</v>
      </c>
      <c r="E268" s="20" t="str">
        <f t="shared" si="4"/>
        <v>HAYE</v>
      </c>
      <c r="F268" s="20">
        <v>-60.296100000000003</v>
      </c>
      <c r="G268" s="20">
        <v>-46.362000000000002</v>
      </c>
      <c r="H268" s="20">
        <v>12</v>
      </c>
      <c r="I268" s="20">
        <v>7.89</v>
      </c>
      <c r="J268" s="20">
        <v>100</v>
      </c>
      <c r="K268" s="20">
        <v>50</v>
      </c>
      <c r="L268" s="20">
        <v>-0.45162769919343199</v>
      </c>
      <c r="M268" s="20">
        <v>2.42</v>
      </c>
      <c r="N268" s="20">
        <v>28</v>
      </c>
      <c r="O268" s="20">
        <v>10</v>
      </c>
      <c r="P268" s="20">
        <v>14</v>
      </c>
      <c r="Q268" s="20">
        <v>5</v>
      </c>
      <c r="R268" s="25">
        <v>392</v>
      </c>
      <c r="S268" s="25">
        <v>50</v>
      </c>
      <c r="T268" s="25">
        <v>83.230357142857201</v>
      </c>
      <c r="U268" s="25">
        <v>392</v>
      </c>
      <c r="V268" s="25">
        <v>50</v>
      </c>
      <c r="W268" s="25">
        <v>83.230357142857102</v>
      </c>
      <c r="X268" s="25">
        <v>94.167244774403699</v>
      </c>
      <c r="Y268" s="20" t="s">
        <v>102</v>
      </c>
      <c r="Z268" s="25">
        <v>2940</v>
      </c>
      <c r="AA268" s="25">
        <v>910</v>
      </c>
      <c r="AB268" s="25">
        <v>3850</v>
      </c>
      <c r="AC268" s="25">
        <v>78.963599208749301</v>
      </c>
      <c r="AD268" s="25">
        <v>7.4330343736592503</v>
      </c>
      <c r="AE268" s="25">
        <v>10.2591422643416</v>
      </c>
      <c r="AF268" s="25">
        <v>74.118567108005806</v>
      </c>
      <c r="AG268" s="25">
        <v>23.4757668887672</v>
      </c>
      <c r="AH268" s="25">
        <v>55.580716763970798</v>
      </c>
      <c r="AI268" s="25">
        <v>18.023142886996698</v>
      </c>
      <c r="AJ268" s="25">
        <v>26.335561363782599</v>
      </c>
      <c r="AK268" s="25">
        <v>9.4109040533606905</v>
      </c>
      <c r="AL268" s="20">
        <v>29.8557848119925</v>
      </c>
      <c r="AM268" s="20">
        <v>12.274182860785499</v>
      </c>
      <c r="AN268" s="20" t="s">
        <v>58</v>
      </c>
    </row>
    <row r="269" spans="1:40" x14ac:dyDescent="0.25">
      <c r="A269" s="20">
        <v>267</v>
      </c>
      <c r="B269" s="20" t="s">
        <v>334</v>
      </c>
      <c r="C269" s="20" t="s">
        <v>56</v>
      </c>
      <c r="D269">
        <v>0</v>
      </c>
      <c r="E269" s="20" t="str">
        <f t="shared" si="4"/>
        <v>GALL</v>
      </c>
      <c r="F269" s="20">
        <v>38.22</v>
      </c>
      <c r="G269" s="20">
        <v>-122.313</v>
      </c>
      <c r="H269" s="20">
        <v>10</v>
      </c>
      <c r="I269" s="20">
        <v>6.07</v>
      </c>
      <c r="J269" s="20">
        <v>155</v>
      </c>
      <c r="K269" s="20">
        <v>82</v>
      </c>
      <c r="L269" s="20">
        <v>-172</v>
      </c>
      <c r="M269" s="20">
        <v>9.7319312584300002E-2</v>
      </c>
      <c r="N269" s="20">
        <v>20</v>
      </c>
      <c r="O269" s="20">
        <v>16</v>
      </c>
      <c r="P269" s="20">
        <v>0.75</v>
      </c>
      <c r="Q269" s="20">
        <v>0.625</v>
      </c>
      <c r="R269">
        <v>15</v>
      </c>
      <c r="S269">
        <v>10</v>
      </c>
      <c r="T269">
        <v>47.090625000000003</v>
      </c>
      <c r="U269">
        <v>15</v>
      </c>
      <c r="V269">
        <v>8.125</v>
      </c>
      <c r="W269">
        <v>57.957692307692298</v>
      </c>
      <c r="X269">
        <v>42.736495515195799</v>
      </c>
      <c r="Y269" s="20" t="s">
        <v>76</v>
      </c>
      <c r="Z269">
        <v>30</v>
      </c>
      <c r="AA269">
        <v>18.75</v>
      </c>
      <c r="AB269">
        <v>48.75</v>
      </c>
      <c r="AC269">
        <v>12.354781463061199</v>
      </c>
      <c r="AD269">
        <v>5.3851648071345002</v>
      </c>
      <c r="AE269">
        <v>8.0825815801636107</v>
      </c>
      <c r="AF269">
        <v>14.999999999645301</v>
      </c>
      <c r="AG269">
        <v>9.3964875968798403</v>
      </c>
      <c r="AH269">
        <v>4.93740736326136</v>
      </c>
      <c r="AI269">
        <v>1.8746030110235801</v>
      </c>
      <c r="AJ269">
        <v>1.8188596569967399</v>
      </c>
      <c r="AK269">
        <v>1.4258668531940499</v>
      </c>
      <c r="AL269" s="20">
        <v>10.7508996470063</v>
      </c>
      <c r="AM269" s="20">
        <v>9.4884856225848804</v>
      </c>
      <c r="AN269" s="20" t="s">
        <v>58</v>
      </c>
    </row>
    <row r="270" spans="1:40" x14ac:dyDescent="0.25">
      <c r="A270" s="20">
        <v>268</v>
      </c>
      <c r="B270" s="20" t="s">
        <v>335</v>
      </c>
      <c r="C270" s="20" t="s">
        <v>61</v>
      </c>
      <c r="D270">
        <v>1</v>
      </c>
      <c r="E270" s="20" t="str">
        <f t="shared" si="4"/>
        <v>WEIx</v>
      </c>
      <c r="F270" s="20">
        <v>-19.642299999999999</v>
      </c>
      <c r="G270" s="20">
        <v>-70.816999999999993</v>
      </c>
      <c r="H270" s="20">
        <v>21.545119662496798</v>
      </c>
      <c r="I270" s="20">
        <v>8.1</v>
      </c>
      <c r="J270" s="20">
        <v>357</v>
      </c>
      <c r="K270" s="20">
        <v>18</v>
      </c>
      <c r="L270" s="20">
        <v>113.726745120359</v>
      </c>
      <c r="M270" s="20">
        <v>0.68644000000000005</v>
      </c>
      <c r="N270" s="20">
        <v>19</v>
      </c>
      <c r="O270" s="20">
        <v>16</v>
      </c>
      <c r="P270" s="20">
        <v>15</v>
      </c>
      <c r="Q270" s="20">
        <v>10</v>
      </c>
      <c r="R270">
        <v>285</v>
      </c>
      <c r="S270">
        <v>160</v>
      </c>
      <c r="T270">
        <v>66.655131907894699</v>
      </c>
      <c r="U270">
        <v>240</v>
      </c>
      <c r="V270">
        <v>160</v>
      </c>
      <c r="W270">
        <v>79.152969140624904</v>
      </c>
      <c r="X270">
        <v>95.209181622329396</v>
      </c>
      <c r="Y270" s="20" t="s">
        <v>64</v>
      </c>
      <c r="Z270">
        <v>7050</v>
      </c>
      <c r="AA270">
        <v>1500</v>
      </c>
      <c r="AB270">
        <v>8550</v>
      </c>
      <c r="AC270">
        <v>0</v>
      </c>
      <c r="AD270">
        <v>33.634060117684299</v>
      </c>
      <c r="AE270">
        <v>41.608292442733102</v>
      </c>
      <c r="AF270">
        <v>98.724981100128701</v>
      </c>
      <c r="AG270">
        <v>76.2229622558703</v>
      </c>
      <c r="AH270">
        <v>40.0011788811426</v>
      </c>
      <c r="AI270">
        <v>29.182253704718502</v>
      </c>
      <c r="AJ270">
        <v>29.742483223180798</v>
      </c>
      <c r="AK270">
        <v>20.2378898393209</v>
      </c>
      <c r="AL270" s="20">
        <v>65.027917623433098</v>
      </c>
      <c r="AM270" s="20">
        <v>57.2267777664443</v>
      </c>
      <c r="AN270" s="20" t="s">
        <v>58</v>
      </c>
    </row>
    <row r="271" spans="1:40" x14ac:dyDescent="0.25">
      <c r="A271" s="20">
        <v>269</v>
      </c>
      <c r="B271" s="20" t="s">
        <v>336</v>
      </c>
      <c r="C271" s="20" t="s">
        <v>80</v>
      </c>
      <c r="D271">
        <v>1</v>
      </c>
      <c r="E271" s="20" t="str">
        <f t="shared" si="4"/>
        <v>HAYE</v>
      </c>
      <c r="F271" s="20">
        <v>12.6127</v>
      </c>
      <c r="G271" s="20">
        <v>-88.073400000000007</v>
      </c>
      <c r="H271" s="20">
        <v>40.5</v>
      </c>
      <c r="I271" s="20">
        <v>7.28</v>
      </c>
      <c r="J271" s="20">
        <v>303.83</v>
      </c>
      <c r="K271" s="20">
        <v>68.290000000000006</v>
      </c>
      <c r="L271" s="20">
        <v>-91.073843799799306</v>
      </c>
      <c r="M271" s="20">
        <v>5.65</v>
      </c>
      <c r="N271" s="20">
        <v>14</v>
      </c>
      <c r="O271" s="20">
        <v>15</v>
      </c>
      <c r="P271" s="20">
        <v>5</v>
      </c>
      <c r="Q271" s="20">
        <v>5</v>
      </c>
      <c r="R271" s="25">
        <v>70</v>
      </c>
      <c r="S271" s="25">
        <v>75</v>
      </c>
      <c r="T271" s="25">
        <v>33.017666666666699</v>
      </c>
      <c r="U271" s="25">
        <v>45</v>
      </c>
      <c r="V271" s="25">
        <v>55</v>
      </c>
      <c r="W271" s="25">
        <v>70.037474747474704</v>
      </c>
      <c r="X271" s="25">
        <v>68.222419674969899</v>
      </c>
      <c r="Y271" s="20" t="s">
        <v>102</v>
      </c>
      <c r="Z271" s="25">
        <v>500</v>
      </c>
      <c r="AA271" s="25">
        <v>275</v>
      </c>
      <c r="AB271" s="25">
        <v>775</v>
      </c>
      <c r="AC271" s="25">
        <v>19.0394327646598</v>
      </c>
      <c r="AD271" s="25">
        <v>3.53553390593274</v>
      </c>
      <c r="AE271" s="25">
        <v>3.53553390593274</v>
      </c>
      <c r="AF271" s="25">
        <v>39.472792159012599</v>
      </c>
      <c r="AG271" s="25">
        <v>25.917000666048899</v>
      </c>
      <c r="AH271" s="25">
        <v>12.106942065143301</v>
      </c>
      <c r="AI271" s="25">
        <v>9.6499887617731108</v>
      </c>
      <c r="AJ271" s="25">
        <v>10.298776221760299</v>
      </c>
      <c r="AK271" s="25">
        <v>9.78124033054665</v>
      </c>
      <c r="AL271" s="20">
        <v>6.9636911045795298</v>
      </c>
      <c r="AM271" s="20">
        <v>4.8585810685837103</v>
      </c>
      <c r="AN271" s="20" t="s">
        <v>58</v>
      </c>
    </row>
    <row r="272" spans="1:40" x14ac:dyDescent="0.25">
      <c r="A272" s="20">
        <v>270</v>
      </c>
      <c r="B272" s="20" t="s">
        <v>337</v>
      </c>
      <c r="C272" s="20" t="s">
        <v>61</v>
      </c>
      <c r="D272">
        <v>0</v>
      </c>
      <c r="E272" s="20" t="str">
        <f t="shared" si="4"/>
        <v>HAYE</v>
      </c>
      <c r="F272" s="20">
        <v>28.13</v>
      </c>
      <c r="G272" s="20">
        <v>84.65</v>
      </c>
      <c r="H272" s="20">
        <v>15</v>
      </c>
      <c r="I272" s="20">
        <v>7.82</v>
      </c>
      <c r="J272" s="20">
        <v>293</v>
      </c>
      <c r="K272" s="20">
        <v>7</v>
      </c>
      <c r="L272" s="20">
        <v>102.130403610519</v>
      </c>
      <c r="M272" s="20">
        <v>4.33</v>
      </c>
      <c r="N272" s="20">
        <v>23</v>
      </c>
      <c r="O272" s="20">
        <v>24</v>
      </c>
      <c r="P272" s="20">
        <v>8.4</v>
      </c>
      <c r="Q272" s="20">
        <v>7</v>
      </c>
      <c r="R272" s="25">
        <v>193.2</v>
      </c>
      <c r="S272" s="25">
        <v>168</v>
      </c>
      <c r="T272" s="25">
        <v>64.978043478260901</v>
      </c>
      <c r="U272" s="25">
        <v>159.6</v>
      </c>
      <c r="V272" s="25">
        <v>147</v>
      </c>
      <c r="W272" s="25">
        <v>89.894436090225597</v>
      </c>
      <c r="X272" s="25">
        <v>108.621083868193</v>
      </c>
      <c r="Y272" s="20" t="s">
        <v>102</v>
      </c>
      <c r="Z272" s="25">
        <v>3116.4</v>
      </c>
      <c r="AA272" s="25">
        <v>1646.4</v>
      </c>
      <c r="AB272" s="25">
        <v>4762.8</v>
      </c>
      <c r="AC272" s="25">
        <v>63.869006568131297</v>
      </c>
      <c r="AD272" s="25">
        <v>5.4671747731346496</v>
      </c>
      <c r="AE272" s="25">
        <v>23.478713763747798</v>
      </c>
      <c r="AF272" s="25">
        <v>59.209176622047501</v>
      </c>
      <c r="AG272" s="25">
        <v>47.654181747512503</v>
      </c>
      <c r="AH272" s="25">
        <v>44.590669788194802</v>
      </c>
      <c r="AI272" s="25">
        <v>36.054166611006004</v>
      </c>
      <c r="AJ272" s="25">
        <v>16.676804524941499</v>
      </c>
      <c r="AK272" s="25">
        <v>13.807855906324299</v>
      </c>
      <c r="AL272" s="20">
        <v>52.512933197927502</v>
      </c>
      <c r="AM272" s="20">
        <v>54.361876546160502</v>
      </c>
      <c r="AN272" s="20" t="s">
        <v>58</v>
      </c>
    </row>
    <row r="273" spans="1:40" x14ac:dyDescent="0.25">
      <c r="A273" s="20">
        <v>271</v>
      </c>
      <c r="B273" s="20" t="s">
        <v>338</v>
      </c>
      <c r="C273" s="20" t="s">
        <v>61</v>
      </c>
      <c r="D273">
        <v>0</v>
      </c>
      <c r="E273" s="20" t="str">
        <f t="shared" si="4"/>
        <v>KOBA</v>
      </c>
      <c r="F273" s="20">
        <v>28.147300000000001</v>
      </c>
      <c r="G273" s="20">
        <v>84.707899999999995</v>
      </c>
      <c r="H273" s="20">
        <v>15</v>
      </c>
      <c r="I273" s="20">
        <v>7.84</v>
      </c>
      <c r="J273" s="20">
        <v>293</v>
      </c>
      <c r="K273" s="20">
        <v>7</v>
      </c>
      <c r="L273" s="20">
        <v>98.37</v>
      </c>
      <c r="M273" s="20">
        <v>8.3000000000000007</v>
      </c>
      <c r="N273" s="20">
        <v>18</v>
      </c>
      <c r="O273" s="20">
        <v>11</v>
      </c>
      <c r="P273" s="20">
        <v>10</v>
      </c>
      <c r="Q273" s="20">
        <v>10</v>
      </c>
      <c r="R273">
        <v>180</v>
      </c>
      <c r="S273">
        <v>110</v>
      </c>
      <c r="T273">
        <v>125.980050505051</v>
      </c>
      <c r="U273">
        <v>140</v>
      </c>
      <c r="V273">
        <v>110</v>
      </c>
      <c r="W273">
        <v>161.97435064935101</v>
      </c>
      <c r="X273">
        <v>170.07013905228101</v>
      </c>
      <c r="Y273" s="20" t="s">
        <v>69</v>
      </c>
      <c r="Z273">
        <v>2300</v>
      </c>
      <c r="AA273">
        <v>800</v>
      </c>
      <c r="AB273">
        <v>3100</v>
      </c>
      <c r="AC273">
        <v>105.118980208143</v>
      </c>
      <c r="AD273">
        <v>25.495097567963899</v>
      </c>
      <c r="AE273">
        <v>45.276925690687101</v>
      </c>
      <c r="AF273">
        <v>47.279118924980096</v>
      </c>
      <c r="AG273">
        <v>29.976070214683499</v>
      </c>
      <c r="AH273">
        <v>101.799139359488</v>
      </c>
      <c r="AI273">
        <v>53.031598468186701</v>
      </c>
      <c r="AJ273">
        <v>18.077638927711899</v>
      </c>
      <c r="AK273">
        <v>16.993689685106801</v>
      </c>
      <c r="AL273" s="20">
        <v>65.499905267717807</v>
      </c>
      <c r="AM273" s="20">
        <v>67.157251275271804</v>
      </c>
      <c r="AN273" s="20" t="s">
        <v>58</v>
      </c>
    </row>
    <row r="274" spans="1:40" x14ac:dyDescent="0.25">
      <c r="A274" s="20">
        <v>272</v>
      </c>
      <c r="B274" s="20" t="s">
        <v>339</v>
      </c>
      <c r="C274" s="20" t="s">
        <v>61</v>
      </c>
      <c r="D274">
        <v>0</v>
      </c>
      <c r="E274" s="20" t="str">
        <f t="shared" si="4"/>
        <v>YAGI</v>
      </c>
      <c r="F274" s="20">
        <v>28.146999999999998</v>
      </c>
      <c r="G274" s="20">
        <v>84.707999999999998</v>
      </c>
      <c r="H274" s="20">
        <v>15</v>
      </c>
      <c r="I274" s="20">
        <v>7.9</v>
      </c>
      <c r="J274" s="20">
        <v>285</v>
      </c>
      <c r="K274" s="20">
        <v>10</v>
      </c>
      <c r="L274" s="20">
        <v>89.290335154667005</v>
      </c>
      <c r="M274" s="20">
        <v>4.5810000000000004</v>
      </c>
      <c r="N274" s="20">
        <v>20</v>
      </c>
      <c r="O274" s="20">
        <v>11</v>
      </c>
      <c r="P274" s="20">
        <v>8</v>
      </c>
      <c r="Q274" s="20">
        <v>8</v>
      </c>
      <c r="R274">
        <v>160</v>
      </c>
      <c r="S274">
        <v>88</v>
      </c>
      <c r="T274">
        <v>247.482727272727</v>
      </c>
      <c r="U274">
        <v>136</v>
      </c>
      <c r="V274">
        <v>88</v>
      </c>
      <c r="W274">
        <v>291.15614973262001</v>
      </c>
      <c r="X274">
        <v>187.645733103363</v>
      </c>
      <c r="Y274" s="20" t="s">
        <v>76</v>
      </c>
      <c r="Z274">
        <v>4032</v>
      </c>
      <c r="AA274">
        <v>1728</v>
      </c>
      <c r="AB274">
        <v>5760</v>
      </c>
      <c r="AC274">
        <v>61.1882341631134</v>
      </c>
      <c r="AD274">
        <v>5.6568542494923797</v>
      </c>
      <c r="AE274">
        <v>28.284271247461898</v>
      </c>
      <c r="AF274">
        <v>132.438768491958</v>
      </c>
      <c r="AG274">
        <v>87.999985782365997</v>
      </c>
      <c r="AH274">
        <v>32.133163461678102</v>
      </c>
      <c r="AI274">
        <v>31.509203842541201</v>
      </c>
      <c r="AJ274">
        <v>18.0706468018283</v>
      </c>
      <c r="AK274">
        <v>17.832372172575699</v>
      </c>
      <c r="AL274" s="20">
        <v>50.069255572057401</v>
      </c>
      <c r="AM274" s="20">
        <v>52.247029885535099</v>
      </c>
      <c r="AN274" s="20" t="s">
        <v>58</v>
      </c>
    </row>
    <row r="275" spans="1:40" x14ac:dyDescent="0.25">
      <c r="A275" s="20">
        <v>273</v>
      </c>
      <c r="B275" s="20" t="s">
        <v>340</v>
      </c>
      <c r="C275" s="20" t="s">
        <v>61</v>
      </c>
      <c r="D275">
        <v>0</v>
      </c>
      <c r="E275" s="20" t="str">
        <f t="shared" si="4"/>
        <v>HAYE</v>
      </c>
      <c r="F275" s="20">
        <v>36.468699999999998</v>
      </c>
      <c r="G275" s="20">
        <v>70.610600000000005</v>
      </c>
      <c r="H275" s="20">
        <v>213.5</v>
      </c>
      <c r="I275" s="20">
        <v>7.54</v>
      </c>
      <c r="J275" s="20">
        <v>106</v>
      </c>
      <c r="K275" s="20">
        <v>70</v>
      </c>
      <c r="L275" s="20">
        <v>89.856836299015796</v>
      </c>
      <c r="M275" s="20">
        <v>176.85</v>
      </c>
      <c r="N275" s="20">
        <v>17</v>
      </c>
      <c r="O275" s="20">
        <v>12</v>
      </c>
      <c r="P275" s="20">
        <v>6</v>
      </c>
      <c r="Q275" s="20">
        <v>6</v>
      </c>
      <c r="R275" s="25">
        <v>102</v>
      </c>
      <c r="S275" s="25">
        <v>72</v>
      </c>
      <c r="T275" s="25">
        <v>53.432156862745103</v>
      </c>
      <c r="U275" s="25">
        <v>42</v>
      </c>
      <c r="V275" s="25">
        <v>48</v>
      </c>
      <c r="W275" s="25">
        <v>194.64571428571401</v>
      </c>
      <c r="X275" s="25">
        <v>187.948590972425</v>
      </c>
      <c r="Y275" s="20" t="s">
        <v>102</v>
      </c>
      <c r="Z275" s="25">
        <v>396</v>
      </c>
      <c r="AA275" s="25">
        <v>324</v>
      </c>
      <c r="AB275" s="25">
        <v>720</v>
      </c>
      <c r="AC275" s="25">
        <v>17.4928556845359</v>
      </c>
      <c r="AD275" s="25">
        <v>4.2426406871192901</v>
      </c>
      <c r="AE275" s="25">
        <v>4.2426406871192901</v>
      </c>
      <c r="AF275" s="25">
        <v>34.005521844608502</v>
      </c>
      <c r="AG275" s="25">
        <v>36.1238206803529</v>
      </c>
      <c r="AH275" s="25">
        <v>12.0095606443434</v>
      </c>
      <c r="AI275" s="25">
        <v>12.3709836468401</v>
      </c>
      <c r="AJ275" s="25">
        <v>11.909030188274199</v>
      </c>
      <c r="AK275" s="25">
        <v>11.999221272297399</v>
      </c>
      <c r="AL275" s="20">
        <v>17.953800064888799</v>
      </c>
      <c r="AM275" s="20">
        <v>15.707608678917399</v>
      </c>
      <c r="AN275" s="20" t="s">
        <v>58</v>
      </c>
    </row>
    <row r="276" spans="1:40" x14ac:dyDescent="0.25">
      <c r="A276" s="20">
        <v>274</v>
      </c>
      <c r="B276" s="20" t="s">
        <v>341</v>
      </c>
      <c r="C276" s="20" t="s">
        <v>61</v>
      </c>
      <c r="D276">
        <v>1</v>
      </c>
      <c r="E276" s="20" t="str">
        <f t="shared" si="4"/>
        <v>HAYE</v>
      </c>
      <c r="F276" s="20">
        <v>-31.595199999999998</v>
      </c>
      <c r="G276" s="20">
        <v>-71.672799999999995</v>
      </c>
      <c r="H276" s="20">
        <v>29</v>
      </c>
      <c r="I276" s="20">
        <v>8.23</v>
      </c>
      <c r="J276" s="20">
        <v>6</v>
      </c>
      <c r="K276" s="20">
        <v>19</v>
      </c>
      <c r="L276" s="20">
        <v>100.869659846256</v>
      </c>
      <c r="M276" s="20">
        <v>1.78</v>
      </c>
      <c r="N276" s="20">
        <v>25</v>
      </c>
      <c r="O276" s="20">
        <v>18</v>
      </c>
      <c r="P276" s="20">
        <v>12</v>
      </c>
      <c r="Q276" s="20">
        <v>8.8000000000000007</v>
      </c>
      <c r="R276">
        <v>300</v>
      </c>
      <c r="S276">
        <v>158.4</v>
      </c>
      <c r="T276">
        <v>148.880955555556</v>
      </c>
      <c r="U276">
        <v>216</v>
      </c>
      <c r="V276">
        <v>140.80000000000001</v>
      </c>
      <c r="W276">
        <v>232.62649305555601</v>
      </c>
      <c r="X276">
        <v>208.135576234209</v>
      </c>
      <c r="Y276" s="20" t="s">
        <v>102</v>
      </c>
      <c r="Z276">
        <v>8342.4</v>
      </c>
      <c r="AA276">
        <v>2323.1999999999998</v>
      </c>
      <c r="AB276">
        <v>10665.6</v>
      </c>
      <c r="AC276">
        <v>7.4404300950953104</v>
      </c>
      <c r="AD276">
        <v>7.4404300950953104</v>
      </c>
      <c r="AE276">
        <v>43.4989655049405</v>
      </c>
      <c r="AF276">
        <v>135.149872509902</v>
      </c>
      <c r="AG276">
        <v>77.190538568505303</v>
      </c>
      <c r="AH276">
        <v>58.217852121294698</v>
      </c>
      <c r="AI276">
        <v>36.217922233792898</v>
      </c>
      <c r="AJ276">
        <v>25.645852338679799</v>
      </c>
      <c r="AK276">
        <v>18.344727926297701</v>
      </c>
      <c r="AL276" s="20">
        <v>69.179937203281696</v>
      </c>
      <c r="AM276" s="20">
        <v>62.831901362922302</v>
      </c>
      <c r="AN276" s="20" t="s">
        <v>58</v>
      </c>
    </row>
    <row r="277" spans="1:40" x14ac:dyDescent="0.25">
      <c r="A277" s="20">
        <v>275</v>
      </c>
      <c r="B277" s="20" t="s">
        <v>342</v>
      </c>
      <c r="C277" s="20" t="s">
        <v>61</v>
      </c>
      <c r="D277">
        <v>1</v>
      </c>
      <c r="E277" s="20" t="str">
        <f t="shared" si="4"/>
        <v>OKUW</v>
      </c>
      <c r="F277" s="20">
        <v>-31.637</v>
      </c>
      <c r="G277" s="20">
        <v>-71.741</v>
      </c>
      <c r="H277" s="20">
        <v>25</v>
      </c>
      <c r="I277" s="20">
        <v>8.3000000000000007</v>
      </c>
      <c r="J277" s="20">
        <v>2.7</v>
      </c>
      <c r="K277" s="20">
        <v>15</v>
      </c>
      <c r="L277" s="20">
        <v>65.2</v>
      </c>
      <c r="M277" s="20">
        <v>5.5890000000000004</v>
      </c>
      <c r="N277" s="20">
        <v>19</v>
      </c>
      <c r="O277" s="20">
        <v>13</v>
      </c>
      <c r="P277" s="20">
        <v>10</v>
      </c>
      <c r="Q277" s="20">
        <v>10</v>
      </c>
      <c r="R277" s="25">
        <v>190</v>
      </c>
      <c r="S277" s="25">
        <v>130</v>
      </c>
      <c r="T277" s="25">
        <v>364.501214574899</v>
      </c>
      <c r="U277" s="25">
        <v>160</v>
      </c>
      <c r="V277" s="25">
        <v>130</v>
      </c>
      <c r="W277" s="25">
        <v>432.845192307692</v>
      </c>
      <c r="X277" s="25">
        <v>266.51996613093701</v>
      </c>
      <c r="Y277" s="20" t="s">
        <v>76</v>
      </c>
      <c r="Z277" s="25">
        <v>7000</v>
      </c>
      <c r="AA277" s="25">
        <v>3900</v>
      </c>
      <c r="AB277" s="25">
        <v>10900</v>
      </c>
      <c r="AC277" s="25">
        <v>21.213203435596402</v>
      </c>
      <c r="AD277" s="25">
        <v>7.0710678118654799</v>
      </c>
      <c r="AE277" s="25">
        <v>21.213203435596402</v>
      </c>
      <c r="AF277" s="25">
        <v>108.56375570871801</v>
      </c>
      <c r="AG277" s="25">
        <v>94.900745278082496</v>
      </c>
      <c r="AH277" s="25">
        <v>41.208398235070199</v>
      </c>
      <c r="AI277" s="25">
        <v>37.967648660372198</v>
      </c>
      <c r="AJ277" s="25">
        <v>21.274050446670199</v>
      </c>
      <c r="AK277" s="25">
        <v>21.006024125926999</v>
      </c>
      <c r="AL277" s="20">
        <v>62.464989914191101</v>
      </c>
      <c r="AM277" s="20">
        <v>56.910840961015502</v>
      </c>
      <c r="AN277" s="20" t="s">
        <v>58</v>
      </c>
    </row>
    <row r="278" spans="1:40" x14ac:dyDescent="0.25">
      <c r="A278" s="20">
        <v>276</v>
      </c>
      <c r="B278" s="20" t="s">
        <v>343</v>
      </c>
      <c r="C278" s="20" t="s">
        <v>61</v>
      </c>
      <c r="D278">
        <v>0</v>
      </c>
      <c r="E278" s="20" t="str">
        <f t="shared" si="4"/>
        <v>HAYE</v>
      </c>
      <c r="F278" s="20">
        <v>-2.69</v>
      </c>
      <c r="G278" s="20">
        <v>138.47890000000001</v>
      </c>
      <c r="H278" s="20">
        <v>48</v>
      </c>
      <c r="I278" s="20">
        <v>6.96</v>
      </c>
      <c r="J278" s="20">
        <v>122</v>
      </c>
      <c r="K278" s="20">
        <v>56</v>
      </c>
      <c r="L278" s="20">
        <v>72.518657807287696</v>
      </c>
      <c r="M278" s="20">
        <v>7</v>
      </c>
      <c r="N278" s="20">
        <v>13</v>
      </c>
      <c r="O278" s="20">
        <v>17</v>
      </c>
      <c r="P278" s="20">
        <v>5</v>
      </c>
      <c r="Q278" s="20">
        <v>4.3</v>
      </c>
      <c r="R278" s="25">
        <v>65</v>
      </c>
      <c r="S278" s="25">
        <v>73.099999999999994</v>
      </c>
      <c r="T278" s="25">
        <v>12.2557466063348</v>
      </c>
      <c r="U278" s="25">
        <v>35</v>
      </c>
      <c r="V278" s="25">
        <v>55.9</v>
      </c>
      <c r="W278" s="25">
        <v>29.763956043956</v>
      </c>
      <c r="X278" s="25">
        <v>37.500026285263303</v>
      </c>
      <c r="Y278" s="20" t="s">
        <v>102</v>
      </c>
      <c r="Z278" s="25">
        <v>344</v>
      </c>
      <c r="AA278" s="25">
        <v>172</v>
      </c>
      <c r="AB278" s="25">
        <v>516</v>
      </c>
      <c r="AC278" s="25">
        <v>33.625473974354598</v>
      </c>
      <c r="AD278" s="25">
        <v>3.2973474187595002</v>
      </c>
      <c r="AE278" s="25">
        <v>3.2973474187595002</v>
      </c>
      <c r="AF278" s="25">
        <v>20.0100928500033</v>
      </c>
      <c r="AG278" s="25">
        <v>25.324946640061398</v>
      </c>
      <c r="AH278" s="25">
        <v>8.1682743977038292</v>
      </c>
      <c r="AI278" s="25">
        <v>8.6460104507129802</v>
      </c>
      <c r="AJ278" s="25">
        <v>9.3092330812294399</v>
      </c>
      <c r="AK278" s="25">
        <v>8.5576356828202194</v>
      </c>
      <c r="AL278" s="20">
        <v>7.5135296911638001</v>
      </c>
      <c r="AM278" s="20">
        <v>7.0644824552121301</v>
      </c>
      <c r="AN278" s="20" t="s">
        <v>58</v>
      </c>
    </row>
    <row r="279" spans="1:40" x14ac:dyDescent="0.25">
      <c r="A279" s="20">
        <v>277</v>
      </c>
      <c r="B279" s="20" t="s">
        <v>344</v>
      </c>
      <c r="C279" s="20" t="s">
        <v>61</v>
      </c>
      <c r="D279">
        <v>0</v>
      </c>
      <c r="E279" s="20" t="str">
        <f t="shared" si="4"/>
        <v>HAYE</v>
      </c>
      <c r="F279" s="20">
        <v>27.8428</v>
      </c>
      <c r="G279" s="20">
        <v>86.153499999999994</v>
      </c>
      <c r="H279" s="20">
        <v>15</v>
      </c>
      <c r="I279" s="20">
        <v>7.26</v>
      </c>
      <c r="J279" s="20">
        <v>305</v>
      </c>
      <c r="K279" s="20">
        <v>9</v>
      </c>
      <c r="L279" s="20">
        <v>118.62088872526201</v>
      </c>
      <c r="M279" s="20">
        <v>8.59</v>
      </c>
      <c r="N279" s="20">
        <v>25</v>
      </c>
      <c r="O279" s="20">
        <v>21</v>
      </c>
      <c r="P279" s="20">
        <v>5</v>
      </c>
      <c r="Q279" s="20">
        <v>3.9</v>
      </c>
      <c r="R279" s="25">
        <v>125</v>
      </c>
      <c r="S279" s="25">
        <v>81.900000000000006</v>
      </c>
      <c r="T279" s="25">
        <v>30.061409523809498</v>
      </c>
      <c r="U279" s="25">
        <v>90</v>
      </c>
      <c r="V279" s="25">
        <v>58.5</v>
      </c>
      <c r="W279" s="25">
        <v>58.452740740740701</v>
      </c>
      <c r="X279" s="25">
        <v>88.031609182501995</v>
      </c>
      <c r="Y279" s="20" t="s">
        <v>102</v>
      </c>
      <c r="Z279" s="25">
        <v>351</v>
      </c>
      <c r="AA279" s="25">
        <v>234</v>
      </c>
      <c r="AB279" s="25">
        <v>585</v>
      </c>
      <c r="AC279" s="25">
        <v>28.5351099524778</v>
      </c>
      <c r="AD279" s="25">
        <v>6.3618000597315199</v>
      </c>
      <c r="AE279" s="25">
        <v>3.1705677724975398</v>
      </c>
      <c r="AF279" s="25">
        <v>28.611956126444401</v>
      </c>
      <c r="AG279" s="25">
        <v>23.502197773485701</v>
      </c>
      <c r="AH279" s="25">
        <v>15.9906349510651</v>
      </c>
      <c r="AI279" s="25">
        <v>12.997077084831901</v>
      </c>
      <c r="AJ279" s="25">
        <v>9.60775154325664</v>
      </c>
      <c r="AK279" s="25">
        <v>7.5666282909579996</v>
      </c>
      <c r="AL279" s="20">
        <v>1.25753225405951</v>
      </c>
      <c r="AM279" s="20">
        <v>1.0521188145832201</v>
      </c>
      <c r="AN279" s="20" t="s">
        <v>58</v>
      </c>
    </row>
    <row r="280" spans="1:40" x14ac:dyDescent="0.25">
      <c r="A280" s="20">
        <v>278</v>
      </c>
      <c r="B280" s="20" t="s">
        <v>345</v>
      </c>
      <c r="C280" s="20" t="s">
        <v>61</v>
      </c>
      <c r="D280">
        <v>1</v>
      </c>
      <c r="E280" s="20" t="str">
        <f t="shared" si="4"/>
        <v>HAYE</v>
      </c>
      <c r="F280" s="20">
        <v>-5.5034000000000001</v>
      </c>
      <c r="G280" s="20">
        <v>151.9151</v>
      </c>
      <c r="H280" s="20">
        <v>42</v>
      </c>
      <c r="I280" s="20">
        <v>7.47</v>
      </c>
      <c r="J280" s="20">
        <v>244</v>
      </c>
      <c r="K280" s="20">
        <v>29</v>
      </c>
      <c r="L280" s="20">
        <v>73.463748197645003</v>
      </c>
      <c r="M280" s="20">
        <v>5.63</v>
      </c>
      <c r="N280" s="20">
        <v>15</v>
      </c>
      <c r="O280" s="20">
        <v>15</v>
      </c>
      <c r="P280" s="20">
        <v>10</v>
      </c>
      <c r="Q280" s="20">
        <v>10</v>
      </c>
      <c r="R280" s="25">
        <v>150</v>
      </c>
      <c r="S280" s="25">
        <v>150</v>
      </c>
      <c r="T280" s="25">
        <v>15.941511111111099</v>
      </c>
      <c r="U280" s="25">
        <v>110</v>
      </c>
      <c r="V280" s="25">
        <v>110</v>
      </c>
      <c r="W280" s="25">
        <v>29.643305785123999</v>
      </c>
      <c r="X280" s="25">
        <v>37.571556484808603</v>
      </c>
      <c r="Y280" s="20" t="s">
        <v>102</v>
      </c>
      <c r="Z280" s="25">
        <v>1800</v>
      </c>
      <c r="AA280" s="25">
        <v>900</v>
      </c>
      <c r="AB280" s="25">
        <v>2700</v>
      </c>
      <c r="AC280" s="25">
        <v>25.495097567963899</v>
      </c>
      <c r="AD280" s="25">
        <v>7.0710678118654799</v>
      </c>
      <c r="AE280" s="25">
        <v>15.8113883008419</v>
      </c>
      <c r="AF280" s="25">
        <v>44.239469113726798</v>
      </c>
      <c r="AG280" s="25">
        <v>55.189012798355499</v>
      </c>
      <c r="AH280" s="25">
        <v>16.9709887582754</v>
      </c>
      <c r="AI280" s="25">
        <v>19.288943369312399</v>
      </c>
      <c r="AJ280" s="25">
        <v>18.470446000410799</v>
      </c>
      <c r="AK280" s="25">
        <v>19.525230649053</v>
      </c>
      <c r="AL280" s="20">
        <v>30.390465293739702</v>
      </c>
      <c r="AM280" s="20">
        <v>45.055740012788597</v>
      </c>
      <c r="AN280" s="20" t="s">
        <v>58</v>
      </c>
    </row>
    <row r="281" spans="1:40" x14ac:dyDescent="0.25">
      <c r="A281" s="20">
        <v>279</v>
      </c>
      <c r="B281" s="20" t="s">
        <v>346</v>
      </c>
      <c r="C281" s="20" t="s">
        <v>56</v>
      </c>
      <c r="D281">
        <v>1</v>
      </c>
      <c r="E281" s="20" t="str">
        <f t="shared" si="4"/>
        <v>HAYE</v>
      </c>
      <c r="F281" s="20">
        <v>52.6693</v>
      </c>
      <c r="G281" s="20">
        <v>-31.924399999999999</v>
      </c>
      <c r="H281" s="20">
        <v>13.8</v>
      </c>
      <c r="I281" s="20">
        <v>7.13</v>
      </c>
      <c r="J281" s="20">
        <v>277.88</v>
      </c>
      <c r="K281" s="20">
        <v>79.8</v>
      </c>
      <c r="L281" s="20">
        <v>-166.390134964721</v>
      </c>
      <c r="M281" s="20">
        <v>3.46</v>
      </c>
      <c r="N281" s="20">
        <v>17</v>
      </c>
      <c r="O281" s="20">
        <v>11</v>
      </c>
      <c r="P281" s="20">
        <v>5</v>
      </c>
      <c r="Q281" s="20">
        <v>3</v>
      </c>
      <c r="R281">
        <v>85</v>
      </c>
      <c r="S281">
        <v>33</v>
      </c>
      <c r="T281">
        <v>41.012085561497301</v>
      </c>
      <c r="U281">
        <v>55</v>
      </c>
      <c r="V281">
        <v>27</v>
      </c>
      <c r="W281">
        <v>77.4672727272727</v>
      </c>
      <c r="X281">
        <v>87.647970493596603</v>
      </c>
      <c r="Y281" s="20" t="s">
        <v>102</v>
      </c>
      <c r="Z281">
        <v>240</v>
      </c>
      <c r="AA281">
        <v>150</v>
      </c>
      <c r="AB281">
        <v>390</v>
      </c>
      <c r="AC281">
        <v>12.903487900563899</v>
      </c>
      <c r="AD281">
        <v>2.9154759474226499</v>
      </c>
      <c r="AE281">
        <v>5.1478150704935004</v>
      </c>
      <c r="AF281">
        <v>36.273926696606999</v>
      </c>
      <c r="AG281">
        <v>11.779503480274</v>
      </c>
      <c r="AH281">
        <v>11.1059404985459</v>
      </c>
      <c r="AI281">
        <v>5.1742437304517503</v>
      </c>
      <c r="AJ281">
        <v>10.015479935586701</v>
      </c>
      <c r="AK281">
        <v>5.7216448683702996</v>
      </c>
      <c r="AL281" s="20">
        <v>14.833907378030901</v>
      </c>
      <c r="AM281" s="20">
        <v>12.669984533929</v>
      </c>
      <c r="AN281" s="20" t="s">
        <v>58</v>
      </c>
    </row>
    <row r="282" spans="1:40" x14ac:dyDescent="0.25">
      <c r="A282" s="20">
        <v>280</v>
      </c>
      <c r="B282" s="20" t="s">
        <v>347</v>
      </c>
      <c r="C282" s="20" t="s">
        <v>80</v>
      </c>
      <c r="D282">
        <v>0</v>
      </c>
      <c r="E282" s="20" t="str">
        <f t="shared" si="4"/>
        <v>HAYE</v>
      </c>
      <c r="F282" s="20">
        <v>-7.2770999999999999</v>
      </c>
      <c r="G282" s="20">
        <v>154.53440000000001</v>
      </c>
      <c r="H282" s="20">
        <v>12</v>
      </c>
      <c r="I282" s="20">
        <v>7.07</v>
      </c>
      <c r="J282" s="20">
        <v>299</v>
      </c>
      <c r="K282" s="20">
        <v>23</v>
      </c>
      <c r="L282" s="20">
        <v>-97.4819535935777</v>
      </c>
      <c r="M282" s="20">
        <v>0.27</v>
      </c>
      <c r="N282" s="20">
        <v>18</v>
      </c>
      <c r="O282" s="20">
        <v>14</v>
      </c>
      <c r="P282" s="20">
        <v>5</v>
      </c>
      <c r="Q282" s="20">
        <v>4</v>
      </c>
      <c r="R282" s="25">
        <v>90</v>
      </c>
      <c r="S282" s="25">
        <v>56</v>
      </c>
      <c r="T282" s="25">
        <v>34.6121825396825</v>
      </c>
      <c r="U282" s="25">
        <v>70</v>
      </c>
      <c r="V282" s="25">
        <v>56</v>
      </c>
      <c r="W282" s="25">
        <v>44.501377551020397</v>
      </c>
      <c r="X282" s="25">
        <v>47.296124498185797</v>
      </c>
      <c r="Y282" s="20" t="s">
        <v>102</v>
      </c>
      <c r="Z282" s="25">
        <v>940</v>
      </c>
      <c r="AA282" s="25">
        <v>240</v>
      </c>
      <c r="AB282" s="25">
        <v>1180</v>
      </c>
      <c r="AC282" s="25">
        <v>44.746508243660799</v>
      </c>
      <c r="AD282" s="25">
        <v>3.2015621187164198</v>
      </c>
      <c r="AE282" s="25">
        <v>3.2015621187164198</v>
      </c>
      <c r="AF282" s="25">
        <v>23.531071406669302</v>
      </c>
      <c r="AG282" s="25">
        <v>21.2186555276358</v>
      </c>
      <c r="AH282" s="25">
        <v>13.643125969987301</v>
      </c>
      <c r="AI282" s="25">
        <v>11.9075379997178</v>
      </c>
      <c r="AJ282" s="25">
        <v>9.2761881574152198</v>
      </c>
      <c r="AK282" s="25">
        <v>7.67711321029571</v>
      </c>
      <c r="AL282" s="20">
        <v>23.734067161150399</v>
      </c>
      <c r="AM282" s="20">
        <v>12.883676379434601</v>
      </c>
      <c r="AN282" s="20" t="s">
        <v>58</v>
      </c>
    </row>
    <row r="283" spans="1:40" x14ac:dyDescent="0.25">
      <c r="A283" s="20">
        <v>281</v>
      </c>
      <c r="B283" s="20" t="s">
        <v>348</v>
      </c>
      <c r="C283" s="20" t="s">
        <v>56</v>
      </c>
      <c r="D283">
        <v>0</v>
      </c>
      <c r="E283" s="20" t="str">
        <f t="shared" si="4"/>
        <v>HAYE</v>
      </c>
      <c r="F283" s="20">
        <v>-47.74</v>
      </c>
      <c r="G283" s="20">
        <v>85.183000000000007</v>
      </c>
      <c r="H283" s="20">
        <v>20</v>
      </c>
      <c r="I283" s="20">
        <v>7.1</v>
      </c>
      <c r="J283" s="20">
        <v>49</v>
      </c>
      <c r="K283" s="20">
        <v>54</v>
      </c>
      <c r="L283" s="20">
        <v>-43.980940703179002</v>
      </c>
      <c r="M283" s="20">
        <v>1.79</v>
      </c>
      <c r="N283" s="20">
        <v>19</v>
      </c>
      <c r="O283" s="20">
        <v>21</v>
      </c>
      <c r="P283" s="20">
        <v>5</v>
      </c>
      <c r="Q283" s="20">
        <v>3</v>
      </c>
      <c r="R283" s="25">
        <v>95</v>
      </c>
      <c r="S283" s="25">
        <v>63</v>
      </c>
      <c r="T283" s="25">
        <v>18.758045112782</v>
      </c>
      <c r="U283" s="25">
        <v>50</v>
      </c>
      <c r="V283" s="25">
        <v>48</v>
      </c>
      <c r="W283" s="25">
        <v>46.777875000000002</v>
      </c>
      <c r="X283" s="25">
        <v>56.030955836611</v>
      </c>
      <c r="Y283" s="20" t="s">
        <v>102</v>
      </c>
      <c r="Z283" s="25">
        <v>450</v>
      </c>
      <c r="AA283" s="25">
        <v>90</v>
      </c>
      <c r="AB283" s="25">
        <v>540</v>
      </c>
      <c r="AC283" s="25">
        <v>22.945587811167499</v>
      </c>
      <c r="AD283" s="25">
        <v>2.9154759474226499</v>
      </c>
      <c r="AE283" s="25">
        <v>2.9154759474226499</v>
      </c>
      <c r="AF283" s="25">
        <v>25.083865453607402</v>
      </c>
      <c r="AG283" s="25">
        <v>12.291276827962699</v>
      </c>
      <c r="AH283" s="25">
        <v>10.448742589236501</v>
      </c>
      <c r="AI283" s="25">
        <v>5.4926869313258804</v>
      </c>
      <c r="AJ283" s="25">
        <v>9.5779707893967405</v>
      </c>
      <c r="AK283" s="25">
        <v>5.4370666154566099</v>
      </c>
      <c r="AL283" s="20">
        <v>3.5299187781024099</v>
      </c>
      <c r="AM283" s="20">
        <v>3.9628836987729001</v>
      </c>
      <c r="AN283" s="20" t="s">
        <v>58</v>
      </c>
    </row>
    <row r="284" spans="1:40" x14ac:dyDescent="0.25">
      <c r="A284" s="20">
        <v>282</v>
      </c>
      <c r="B284" s="20" t="s">
        <v>349</v>
      </c>
      <c r="C284" s="20" t="s">
        <v>56</v>
      </c>
      <c r="D284">
        <v>1</v>
      </c>
      <c r="E284" s="20" t="str">
        <f t="shared" si="4"/>
        <v>HAYE</v>
      </c>
      <c r="F284" s="20">
        <v>59.658499999999997</v>
      </c>
      <c r="G284" s="20">
        <v>-153.4521</v>
      </c>
      <c r="H284" s="20">
        <v>127.8</v>
      </c>
      <c r="I284" s="20">
        <v>7.12</v>
      </c>
      <c r="J284" s="20">
        <v>60</v>
      </c>
      <c r="K284" s="20">
        <v>66</v>
      </c>
      <c r="L284" s="20">
        <v>35.525253070519199</v>
      </c>
      <c r="M284" s="20">
        <v>96.358999999999995</v>
      </c>
      <c r="N284" s="20">
        <v>10</v>
      </c>
      <c r="O284" s="20">
        <v>15</v>
      </c>
      <c r="P284" s="20">
        <v>5</v>
      </c>
      <c r="Q284" s="20">
        <v>3.5</v>
      </c>
      <c r="R284" s="25">
        <v>50</v>
      </c>
      <c r="S284" s="25">
        <v>52.5</v>
      </c>
      <c r="T284" s="25">
        <v>35.0896099333333</v>
      </c>
      <c r="U284" s="25">
        <v>35</v>
      </c>
      <c r="V284" s="25">
        <v>31.5</v>
      </c>
      <c r="W284" s="25">
        <v>83.546690317460303</v>
      </c>
      <c r="X284" s="25">
        <v>94.045439248583193</v>
      </c>
      <c r="Y284" s="20" t="s">
        <v>102</v>
      </c>
      <c r="Z284" s="25">
        <v>280</v>
      </c>
      <c r="AA284" s="25">
        <v>140</v>
      </c>
      <c r="AB284" s="25">
        <v>420</v>
      </c>
      <c r="AC284" s="25">
        <v>16.7670207620728</v>
      </c>
      <c r="AD284" s="25">
        <v>0.86087585655687804</v>
      </c>
      <c r="AE284" s="25">
        <v>0.86087585655687804</v>
      </c>
      <c r="AF284" s="25">
        <v>18.042299236206201</v>
      </c>
      <c r="AG284" s="25">
        <v>14.5116222157663</v>
      </c>
      <c r="AH284" s="25">
        <v>7.47729095224833</v>
      </c>
      <c r="AI284" s="25">
        <v>5.6305072709544302</v>
      </c>
      <c r="AJ284" s="25">
        <v>9.1126002033684497</v>
      </c>
      <c r="AK284" s="25">
        <v>6.3941651327511702</v>
      </c>
      <c r="AL284" s="20">
        <v>15.9894643636355</v>
      </c>
      <c r="AM284" s="20">
        <v>11.963631708777401</v>
      </c>
      <c r="AN284" s="20" t="s">
        <v>58</v>
      </c>
    </row>
    <row r="285" spans="1:40" x14ac:dyDescent="0.25">
      <c r="A285" s="20">
        <v>283</v>
      </c>
      <c r="B285" s="20" t="s">
        <v>350</v>
      </c>
      <c r="C285" s="20" t="s">
        <v>80</v>
      </c>
      <c r="D285">
        <v>0</v>
      </c>
      <c r="E285" s="20" t="str">
        <f t="shared" si="4"/>
        <v>PIZZ</v>
      </c>
      <c r="F285" s="20">
        <v>42.706299999999999</v>
      </c>
      <c r="G285" s="20">
        <v>13.2532</v>
      </c>
      <c r="H285" s="20">
        <v>5</v>
      </c>
      <c r="I285" s="20">
        <v>6.21</v>
      </c>
      <c r="J285" s="20">
        <v>155</v>
      </c>
      <c r="K285" s="20">
        <v>45</v>
      </c>
      <c r="L285" s="20">
        <v>-85</v>
      </c>
      <c r="M285" s="20">
        <v>0.757359312881</v>
      </c>
      <c r="N285" s="20">
        <v>30</v>
      </c>
      <c r="O285" s="20">
        <v>12</v>
      </c>
      <c r="P285" s="20">
        <v>1.2</v>
      </c>
      <c r="Q285" s="20">
        <v>1</v>
      </c>
      <c r="R285">
        <v>36</v>
      </c>
      <c r="S285">
        <v>12</v>
      </c>
      <c r="T285">
        <v>18.867444444444398</v>
      </c>
      <c r="U285">
        <v>30</v>
      </c>
      <c r="V285">
        <v>12</v>
      </c>
      <c r="W285">
        <v>22.640933333333301</v>
      </c>
      <c r="X285">
        <v>14.071997223938901</v>
      </c>
      <c r="Y285" s="20" t="s">
        <v>76</v>
      </c>
      <c r="Z285">
        <v>116.4</v>
      </c>
      <c r="AA285">
        <v>90</v>
      </c>
      <c r="AB285">
        <v>206.4</v>
      </c>
      <c r="AC285">
        <v>10.9836241741968</v>
      </c>
      <c r="AD285">
        <v>2</v>
      </c>
      <c r="AE285">
        <v>0</v>
      </c>
      <c r="AF285">
        <v>35.999997446174802</v>
      </c>
      <c r="AG285">
        <v>11.9999999822254</v>
      </c>
      <c r="AH285">
        <v>6.1505559672445198</v>
      </c>
      <c r="AI285">
        <v>4.5847850760281501</v>
      </c>
      <c r="AJ285">
        <v>2.87813032586772</v>
      </c>
      <c r="AK285">
        <v>2.3964324725678199</v>
      </c>
      <c r="AL285" s="20">
        <v>3.64652588774576</v>
      </c>
      <c r="AM285" s="20">
        <v>4.2104310527545801</v>
      </c>
      <c r="AN285" s="20" t="s">
        <v>58</v>
      </c>
    </row>
    <row r="286" spans="1:40" x14ac:dyDescent="0.25">
      <c r="A286" s="20">
        <v>284</v>
      </c>
      <c r="B286" s="20" t="s">
        <v>351</v>
      </c>
      <c r="C286" s="20" t="s">
        <v>63</v>
      </c>
      <c r="D286">
        <v>0</v>
      </c>
      <c r="E286" s="20" t="str">
        <f t="shared" si="4"/>
        <v>HAYE</v>
      </c>
      <c r="F286" s="20">
        <v>-7.1800000000000003E-2</v>
      </c>
      <c r="G286" s="20">
        <v>-17.8139</v>
      </c>
      <c r="H286" s="20">
        <v>12</v>
      </c>
      <c r="I286" s="20">
        <v>7.1</v>
      </c>
      <c r="J286" s="20">
        <v>79</v>
      </c>
      <c r="K286" s="20">
        <v>85</v>
      </c>
      <c r="L286" s="20">
        <v>176.27133006710699</v>
      </c>
      <c r="M286" s="20">
        <v>3.78</v>
      </c>
      <c r="N286" s="20">
        <v>22</v>
      </c>
      <c r="O286" s="20">
        <v>5</v>
      </c>
      <c r="P286" s="20">
        <v>5</v>
      </c>
      <c r="Q286" s="20">
        <v>3.3</v>
      </c>
      <c r="R286" s="25">
        <v>110</v>
      </c>
      <c r="S286" s="25">
        <v>16.5</v>
      </c>
      <c r="T286" s="25">
        <v>79.769272727272707</v>
      </c>
      <c r="U286" s="25">
        <v>80</v>
      </c>
      <c r="V286" s="25">
        <v>13.2</v>
      </c>
      <c r="W286" s="25">
        <v>137.10343750000001</v>
      </c>
      <c r="X286" s="25">
        <v>118.033982843921</v>
      </c>
      <c r="Y286" s="20" t="s">
        <v>102</v>
      </c>
      <c r="Z286" s="25">
        <v>363</v>
      </c>
      <c r="AA286" s="25">
        <v>165</v>
      </c>
      <c r="AB286" s="25">
        <v>528</v>
      </c>
      <c r="AC286" s="25">
        <v>39.281706938471999</v>
      </c>
      <c r="AD286" s="25">
        <v>2.9954131601500298</v>
      </c>
      <c r="AE286" s="25">
        <v>7.6793554417021204</v>
      </c>
      <c r="AF286" s="25">
        <v>41.81013073567</v>
      </c>
      <c r="AG286" s="25">
        <v>5.2260922568559396</v>
      </c>
      <c r="AH286" s="25">
        <v>25.218710291939999</v>
      </c>
      <c r="AI286" s="25">
        <v>4.81123534662692</v>
      </c>
      <c r="AJ286" s="25">
        <v>10.2566899409623</v>
      </c>
      <c r="AK286" s="25">
        <v>5.7311159332681703</v>
      </c>
      <c r="AL286" s="20">
        <v>19.590012276923201</v>
      </c>
      <c r="AM286" s="20">
        <v>7.2107070561769504</v>
      </c>
      <c r="AN286" s="20" t="s">
        <v>58</v>
      </c>
    </row>
    <row r="287" spans="1:40" x14ac:dyDescent="0.25">
      <c r="A287" s="20">
        <v>285</v>
      </c>
      <c r="B287" s="20" t="s">
        <v>352</v>
      </c>
      <c r="C287" s="20" t="s">
        <v>61</v>
      </c>
      <c r="D287">
        <v>1</v>
      </c>
      <c r="E287" s="20" t="str">
        <f t="shared" si="4"/>
        <v>HAYE</v>
      </c>
      <c r="F287" s="20">
        <v>-43.416699999999999</v>
      </c>
      <c r="G287" s="20">
        <v>-73.897199999999998</v>
      </c>
      <c r="H287" s="20">
        <v>30</v>
      </c>
      <c r="I287" s="20">
        <v>7.61</v>
      </c>
      <c r="J287" s="20">
        <v>356</v>
      </c>
      <c r="K287" s="20">
        <v>16</v>
      </c>
      <c r="L287" s="20">
        <v>79.560452520846695</v>
      </c>
      <c r="M287" s="20">
        <v>3.95</v>
      </c>
      <c r="N287" s="20">
        <v>15</v>
      </c>
      <c r="O287" s="20">
        <v>22</v>
      </c>
      <c r="P287" s="20">
        <v>8</v>
      </c>
      <c r="Q287" s="20">
        <v>7</v>
      </c>
      <c r="R287" s="25">
        <v>120</v>
      </c>
      <c r="S287" s="25">
        <v>154</v>
      </c>
      <c r="T287" s="25">
        <v>34.167030303030302</v>
      </c>
      <c r="U287" s="25">
        <v>96</v>
      </c>
      <c r="V287" s="25">
        <v>56</v>
      </c>
      <c r="W287" s="25">
        <v>117.449166666667</v>
      </c>
      <c r="X287" s="25">
        <v>154.47598038728501</v>
      </c>
      <c r="Y287" s="20" t="s">
        <v>102</v>
      </c>
      <c r="Z287" s="25">
        <v>784</v>
      </c>
      <c r="AA287" s="25">
        <v>448</v>
      </c>
      <c r="AB287" s="25">
        <v>1232</v>
      </c>
      <c r="AC287" s="25">
        <v>21.219095173922899</v>
      </c>
      <c r="AD287" s="25">
        <v>5.3150729063673303</v>
      </c>
      <c r="AE287" s="25">
        <v>5.3150729063673303</v>
      </c>
      <c r="AF287" s="25">
        <v>38.275870431231397</v>
      </c>
      <c r="AG287" s="25">
        <v>38.5226075109478</v>
      </c>
      <c r="AH287" s="25">
        <v>14.049879499936401</v>
      </c>
      <c r="AI287" s="25">
        <v>13.7388137167554</v>
      </c>
      <c r="AJ287" s="25">
        <v>14.546763370028399</v>
      </c>
      <c r="AK287" s="25">
        <v>14.051022353735201</v>
      </c>
      <c r="AL287" s="20">
        <v>2.2746170534839498</v>
      </c>
      <c r="AM287" s="20">
        <v>3.4653724359727902</v>
      </c>
      <c r="AN287" s="20" t="s">
        <v>58</v>
      </c>
    </row>
    <row r="288" spans="1:40" x14ac:dyDescent="0.25">
      <c r="A288" s="20">
        <v>286</v>
      </c>
      <c r="B288" s="20" t="s">
        <v>353</v>
      </c>
      <c r="C288" s="20" t="s">
        <v>56</v>
      </c>
      <c r="D288">
        <v>0</v>
      </c>
      <c r="E288" s="20" t="str">
        <f t="shared" si="4"/>
        <v>HAYE</v>
      </c>
      <c r="F288" s="20">
        <v>54.037700000000001</v>
      </c>
      <c r="G288" s="20">
        <v>158.51419999999999</v>
      </c>
      <c r="H288" s="20">
        <v>159.80000000000001</v>
      </c>
      <c r="I288" s="20">
        <v>7.2</v>
      </c>
      <c r="J288" s="20">
        <v>321</v>
      </c>
      <c r="K288" s="20">
        <v>35</v>
      </c>
      <c r="L288" s="20">
        <v>-30.934705913675199</v>
      </c>
      <c r="M288" s="20">
        <v>142.59</v>
      </c>
      <c r="N288" s="20">
        <v>15</v>
      </c>
      <c r="O288" s="20">
        <v>15</v>
      </c>
      <c r="P288" s="20">
        <v>5</v>
      </c>
      <c r="Q288" s="20">
        <v>4</v>
      </c>
      <c r="R288" s="25">
        <v>75</v>
      </c>
      <c r="S288" s="25">
        <v>60</v>
      </c>
      <c r="T288" s="25">
        <v>27.171866666666698</v>
      </c>
      <c r="U288" s="25">
        <v>40</v>
      </c>
      <c r="V288" s="25">
        <v>28</v>
      </c>
      <c r="W288" s="25">
        <v>109.172678571429</v>
      </c>
      <c r="X288" s="25">
        <v>132.397756807023</v>
      </c>
      <c r="Y288" s="20" t="s">
        <v>102</v>
      </c>
      <c r="Z288" s="25">
        <v>200</v>
      </c>
      <c r="AA288" s="25">
        <v>140</v>
      </c>
      <c r="AB288" s="25">
        <v>340</v>
      </c>
      <c r="AC288" s="25">
        <v>10.3077640640442</v>
      </c>
      <c r="AD288" s="25">
        <v>3.2015621187164198</v>
      </c>
      <c r="AE288" s="25">
        <v>3.2015621187164198</v>
      </c>
      <c r="AF288" s="25">
        <v>20.624049317812901</v>
      </c>
      <c r="AG288" s="25">
        <v>18.643874104021201</v>
      </c>
      <c r="AH288" s="25">
        <v>8.1131069564197809</v>
      </c>
      <c r="AI288" s="25">
        <v>7.0165261068543501</v>
      </c>
      <c r="AJ288" s="25">
        <v>9.0472677649455395</v>
      </c>
      <c r="AK288" s="25">
        <v>7.5622637242445698</v>
      </c>
      <c r="AL288" s="20">
        <v>9.3692608699939601</v>
      </c>
      <c r="AM288" s="20">
        <v>9.7762734914690306</v>
      </c>
      <c r="AN288" s="20" t="s">
        <v>58</v>
      </c>
    </row>
    <row r="289" spans="1:40" x14ac:dyDescent="0.25">
      <c r="A289" s="20">
        <v>287</v>
      </c>
      <c r="B289" s="20" t="s">
        <v>354</v>
      </c>
      <c r="C289" s="20" t="s">
        <v>56</v>
      </c>
      <c r="D289">
        <v>0</v>
      </c>
      <c r="E289" s="20" t="str">
        <f t="shared" si="4"/>
        <v>ASAN</v>
      </c>
      <c r="F289" s="20">
        <v>32.741700000000002</v>
      </c>
      <c r="G289" s="20">
        <v>130.80869999999999</v>
      </c>
      <c r="H289" s="20">
        <v>11.39</v>
      </c>
      <c r="I289" s="20">
        <v>6.14</v>
      </c>
      <c r="J289" s="20">
        <v>212</v>
      </c>
      <c r="K289" s="20">
        <v>89</v>
      </c>
      <c r="L289" s="20">
        <v>-178.56099902823999</v>
      </c>
      <c r="M289" s="20">
        <v>2.9</v>
      </c>
      <c r="N289" s="20">
        <v>14</v>
      </c>
      <c r="O289" s="20">
        <v>13</v>
      </c>
      <c r="P289" s="20">
        <v>1</v>
      </c>
      <c r="Q289" s="20">
        <v>1</v>
      </c>
      <c r="R289">
        <v>14</v>
      </c>
      <c r="S289">
        <v>13</v>
      </c>
      <c r="T289">
        <v>35.864120879120897</v>
      </c>
      <c r="U289">
        <v>14</v>
      </c>
      <c r="V289">
        <v>13</v>
      </c>
      <c r="W289">
        <v>35.864120879120897</v>
      </c>
      <c r="X289">
        <v>21.037417573769702</v>
      </c>
      <c r="Y289" s="20" t="s">
        <v>155</v>
      </c>
      <c r="Z289">
        <v>60</v>
      </c>
      <c r="AA289">
        <v>10</v>
      </c>
      <c r="AB289">
        <v>70</v>
      </c>
      <c r="AC289">
        <v>0.70710678118654802</v>
      </c>
      <c r="AD289">
        <v>0.70710678118654802</v>
      </c>
      <c r="AE289">
        <v>0.70710678118654802</v>
      </c>
      <c r="AF289">
        <v>5.9585168594262097</v>
      </c>
      <c r="AG289">
        <v>5.05963584337435</v>
      </c>
      <c r="AH289">
        <v>7.5668598351846699</v>
      </c>
      <c r="AI289">
        <v>6.3170994294227096</v>
      </c>
      <c r="AJ289">
        <v>1.93336207048708</v>
      </c>
      <c r="AK289">
        <v>1.84054387798793</v>
      </c>
      <c r="AL289" s="20">
        <v>0.25491528004417502</v>
      </c>
      <c r="AM289" s="20">
        <v>1.79965356944052</v>
      </c>
      <c r="AN289" s="20" t="s">
        <v>58</v>
      </c>
    </row>
    <row r="290" spans="1:40" x14ac:dyDescent="0.25">
      <c r="A290" s="20">
        <v>288</v>
      </c>
      <c r="B290" s="20" t="s">
        <v>355</v>
      </c>
      <c r="C290" s="20" t="s">
        <v>56</v>
      </c>
      <c r="D290">
        <v>0</v>
      </c>
      <c r="E290" s="20" t="str">
        <f t="shared" si="4"/>
        <v>HAYE</v>
      </c>
      <c r="F290" s="20">
        <v>32.781999999999996</v>
      </c>
      <c r="G290" s="20">
        <v>130.726</v>
      </c>
      <c r="H290" s="20">
        <v>12</v>
      </c>
      <c r="I290" s="20">
        <v>7.04</v>
      </c>
      <c r="J290" s="20">
        <v>224</v>
      </c>
      <c r="K290" s="20">
        <v>66</v>
      </c>
      <c r="L290" s="20">
        <v>-144.575850490432</v>
      </c>
      <c r="M290" s="20">
        <v>7.0000000000000007E-2</v>
      </c>
      <c r="N290" s="20">
        <v>18</v>
      </c>
      <c r="O290" s="20">
        <v>9</v>
      </c>
      <c r="P290" s="20">
        <v>5</v>
      </c>
      <c r="Q290" s="20">
        <v>2.9</v>
      </c>
      <c r="R290" s="25">
        <v>90</v>
      </c>
      <c r="S290" s="25">
        <v>26.1</v>
      </c>
      <c r="T290" s="25">
        <v>62.619074074074099</v>
      </c>
      <c r="U290" s="25">
        <v>65</v>
      </c>
      <c r="V290" s="25">
        <v>26.1</v>
      </c>
      <c r="W290" s="25">
        <v>86.703333333333404</v>
      </c>
      <c r="X290" s="25">
        <v>105.016757565066</v>
      </c>
      <c r="Y290" s="20" t="s">
        <v>102</v>
      </c>
      <c r="Z290" s="25">
        <v>290</v>
      </c>
      <c r="AA290" s="25">
        <v>203</v>
      </c>
      <c r="AB290" s="25">
        <v>493</v>
      </c>
      <c r="AC290" s="25">
        <v>27.841919833229898</v>
      </c>
      <c r="AD290" s="25">
        <v>2.8900692033236801</v>
      </c>
      <c r="AE290" s="25">
        <v>2.8900692033236899</v>
      </c>
      <c r="AF290" s="25">
        <v>37.978102314809803</v>
      </c>
      <c r="AG290" s="25">
        <v>13.101250945388101</v>
      </c>
      <c r="AH290" s="25">
        <v>11.6197824456532</v>
      </c>
      <c r="AI290" s="25">
        <v>5.29139966774627</v>
      </c>
      <c r="AJ290" s="25">
        <v>10.271364244918299</v>
      </c>
      <c r="AK290" s="25">
        <v>5.5742585361315404</v>
      </c>
      <c r="AL290" s="20">
        <v>8.0236416152517709</v>
      </c>
      <c r="AM290" s="20">
        <v>6.4381631425430701</v>
      </c>
      <c r="AN290" s="20" t="s">
        <v>58</v>
      </c>
    </row>
    <row r="291" spans="1:40" x14ac:dyDescent="0.25">
      <c r="A291" s="20">
        <v>289</v>
      </c>
      <c r="B291" s="20" t="s">
        <v>356</v>
      </c>
      <c r="C291" s="20" t="s">
        <v>56</v>
      </c>
      <c r="D291">
        <v>0</v>
      </c>
      <c r="E291" s="20" t="str">
        <f t="shared" si="4"/>
        <v>YAGI</v>
      </c>
      <c r="F291" s="20">
        <v>32.755000000000003</v>
      </c>
      <c r="G291" s="20">
        <v>130.76300000000001</v>
      </c>
      <c r="H291" s="20">
        <v>9</v>
      </c>
      <c r="I291" s="20">
        <v>7.1</v>
      </c>
      <c r="J291" s="20">
        <v>234</v>
      </c>
      <c r="K291" s="20">
        <v>64</v>
      </c>
      <c r="L291" s="20">
        <v>-167.69131358488099</v>
      </c>
      <c r="M291" s="20">
        <v>-0.88700000000000001</v>
      </c>
      <c r="N291" s="20">
        <v>28</v>
      </c>
      <c r="O291" s="20">
        <v>10</v>
      </c>
      <c r="P291" s="20">
        <v>2</v>
      </c>
      <c r="Q291" s="20">
        <v>2</v>
      </c>
      <c r="R291">
        <v>56</v>
      </c>
      <c r="S291">
        <v>20</v>
      </c>
      <c r="T291">
        <v>164.35499999999999</v>
      </c>
      <c r="U291">
        <v>40</v>
      </c>
      <c r="V291">
        <v>20</v>
      </c>
      <c r="W291">
        <v>230.09700000000001</v>
      </c>
      <c r="X291">
        <v>159.86764090322501</v>
      </c>
      <c r="Y291" s="20" t="s">
        <v>76</v>
      </c>
      <c r="Z291">
        <v>248</v>
      </c>
      <c r="AA291">
        <v>148</v>
      </c>
      <c r="AB291">
        <v>396</v>
      </c>
      <c r="AC291">
        <v>31.0161248385416</v>
      </c>
      <c r="AD291">
        <v>1.4142135623731</v>
      </c>
      <c r="AE291">
        <v>5.8309518948452999</v>
      </c>
      <c r="AF291">
        <v>55.999999979159703</v>
      </c>
      <c r="AG291">
        <v>6.4362674462128702</v>
      </c>
      <c r="AH291">
        <v>12.6434492239731</v>
      </c>
      <c r="AI291">
        <v>5.9945467782539703</v>
      </c>
      <c r="AJ291">
        <v>4.7646562463202997</v>
      </c>
      <c r="AK291">
        <v>4.4750704672304602</v>
      </c>
      <c r="AL291" s="20">
        <v>11.5668881022512</v>
      </c>
      <c r="AM291" s="20">
        <v>8.4868478247226697</v>
      </c>
      <c r="AN291" s="20" t="s">
        <v>58</v>
      </c>
    </row>
    <row r="292" spans="1:40" x14ac:dyDescent="0.25">
      <c r="A292" s="20">
        <v>290</v>
      </c>
      <c r="B292" s="20" t="s">
        <v>357</v>
      </c>
      <c r="C292" s="20" t="s">
        <v>63</v>
      </c>
      <c r="D292">
        <v>0</v>
      </c>
      <c r="E292" s="20" t="str">
        <f t="shared" si="4"/>
        <v>HAYE</v>
      </c>
      <c r="F292" s="20">
        <v>-22.489000000000001</v>
      </c>
      <c r="G292" s="20">
        <v>173.09540000000001</v>
      </c>
      <c r="H292" s="20">
        <v>16.100000000000001</v>
      </c>
      <c r="I292" s="20">
        <v>7.24</v>
      </c>
      <c r="J292" s="20">
        <v>292.33999999999997</v>
      </c>
      <c r="K292" s="20">
        <v>52.45</v>
      </c>
      <c r="L292" s="20">
        <v>178.85171998014201</v>
      </c>
      <c r="M292" s="20">
        <v>4.7</v>
      </c>
      <c r="N292" s="20">
        <v>18</v>
      </c>
      <c r="O292" s="20">
        <v>5</v>
      </c>
      <c r="P292" s="20">
        <v>5</v>
      </c>
      <c r="Q292" s="20">
        <v>5.75</v>
      </c>
      <c r="R292" s="25">
        <v>90</v>
      </c>
      <c r="S292" s="25">
        <v>28.75</v>
      </c>
      <c r="T292" s="25">
        <v>69.906999999999996</v>
      </c>
      <c r="U292" s="25">
        <v>70</v>
      </c>
      <c r="V292" s="25">
        <v>28.75</v>
      </c>
      <c r="W292" s="25">
        <v>89.880428571428595</v>
      </c>
      <c r="X292" s="25">
        <v>105.67029278863799</v>
      </c>
      <c r="Y292" s="20" t="s">
        <v>102</v>
      </c>
      <c r="Z292" s="25">
        <v>316.25</v>
      </c>
      <c r="AA292" s="25">
        <v>287.5</v>
      </c>
      <c r="AB292" s="25">
        <v>603.75</v>
      </c>
      <c r="AC292" s="25">
        <v>26.669563644724299</v>
      </c>
      <c r="AD292" s="25">
        <v>3.8099376635320401</v>
      </c>
      <c r="AE292" s="25">
        <v>3.8099376635320401</v>
      </c>
      <c r="AF292" s="25">
        <v>27.334071878824702</v>
      </c>
      <c r="AG292" s="25">
        <v>9.5835001116666607</v>
      </c>
      <c r="AH292" s="25">
        <v>9.5871111915304006</v>
      </c>
      <c r="AI292" s="25">
        <v>5.8793171769708703</v>
      </c>
      <c r="AJ292" s="25">
        <v>9.7798478833026792</v>
      </c>
      <c r="AK292" s="25">
        <v>9.4446900783229495</v>
      </c>
      <c r="AL292" s="20">
        <v>6.8503244434114201</v>
      </c>
      <c r="AM292" s="20">
        <v>5.8469081949351702</v>
      </c>
      <c r="AN292" s="20" t="s">
        <v>58</v>
      </c>
    </row>
    <row r="293" spans="1:40" x14ac:dyDescent="0.25">
      <c r="A293" s="20">
        <v>291</v>
      </c>
      <c r="B293" s="20" t="s">
        <v>358</v>
      </c>
      <c r="C293" s="20" t="s">
        <v>56</v>
      </c>
      <c r="D293">
        <v>0</v>
      </c>
      <c r="E293" s="20" t="str">
        <f t="shared" si="4"/>
        <v>HAYE</v>
      </c>
      <c r="F293" s="20">
        <v>18.5153</v>
      </c>
      <c r="G293" s="20">
        <v>145.52930000000001</v>
      </c>
      <c r="H293" s="20">
        <v>212.4</v>
      </c>
      <c r="I293" s="20">
        <v>7.7</v>
      </c>
      <c r="J293" s="20">
        <v>190</v>
      </c>
      <c r="K293" s="20">
        <v>33</v>
      </c>
      <c r="L293" s="20">
        <v>129.28014635904401</v>
      </c>
      <c r="M293" s="20">
        <v>179.99</v>
      </c>
      <c r="N293" s="20">
        <v>17</v>
      </c>
      <c r="O293" s="20">
        <v>17</v>
      </c>
      <c r="P293" s="20">
        <v>7</v>
      </c>
      <c r="Q293" s="20">
        <v>7</v>
      </c>
      <c r="R293" s="25">
        <v>119</v>
      </c>
      <c r="S293" s="25">
        <v>119</v>
      </c>
      <c r="T293" s="25">
        <v>44.182698961937703</v>
      </c>
      <c r="U293" s="25">
        <v>56</v>
      </c>
      <c r="V293" s="25">
        <v>70</v>
      </c>
      <c r="W293" s="25">
        <v>159.61000000000001</v>
      </c>
      <c r="X293" s="25">
        <v>241.770266681565</v>
      </c>
      <c r="Y293" s="20" t="s">
        <v>102</v>
      </c>
      <c r="Z293" s="25">
        <v>392</v>
      </c>
      <c r="AA293" s="25">
        <v>441</v>
      </c>
      <c r="AB293" s="25">
        <v>833</v>
      </c>
      <c r="AC293" s="25">
        <v>4.94974746830583</v>
      </c>
      <c r="AD293" s="25">
        <v>4.94974746830583</v>
      </c>
      <c r="AE293" s="25">
        <v>4.94974746830583</v>
      </c>
      <c r="AF293" s="25">
        <v>51.195745138878003</v>
      </c>
      <c r="AG293" s="25">
        <v>36.827102451589901</v>
      </c>
      <c r="AH293" s="25">
        <v>16.2297381588088</v>
      </c>
      <c r="AI293" s="25">
        <v>13.5740687945703</v>
      </c>
      <c r="AJ293" s="25">
        <v>14.554022385462</v>
      </c>
      <c r="AK293" s="25">
        <v>13.647342557796801</v>
      </c>
      <c r="AL293" s="20">
        <v>3.8424145286525202</v>
      </c>
      <c r="AM293" s="20">
        <v>3.5403558013284502</v>
      </c>
      <c r="AN293" s="20" t="s">
        <v>58</v>
      </c>
    </row>
    <row r="294" spans="1:40" x14ac:dyDescent="0.25">
      <c r="A294" s="20">
        <v>292</v>
      </c>
      <c r="B294" s="20" t="s">
        <v>359</v>
      </c>
      <c r="C294" s="20" t="s">
        <v>56</v>
      </c>
      <c r="D294">
        <v>1</v>
      </c>
      <c r="E294" s="20" t="str">
        <f t="shared" si="4"/>
        <v>HAYE</v>
      </c>
      <c r="F294" s="20">
        <v>0.34820000000000001</v>
      </c>
      <c r="G294" s="20">
        <v>-79.971999999999994</v>
      </c>
      <c r="H294" s="20">
        <v>20</v>
      </c>
      <c r="I294" s="20">
        <v>7.82</v>
      </c>
      <c r="J294" s="20">
        <v>29</v>
      </c>
      <c r="K294" s="20">
        <v>15</v>
      </c>
      <c r="L294" s="20">
        <v>122.615216831583</v>
      </c>
      <c r="M294" s="20">
        <v>0.57999999999999996</v>
      </c>
      <c r="N294" s="20">
        <v>15</v>
      </c>
      <c r="O294" s="20">
        <v>16</v>
      </c>
      <c r="P294" s="20">
        <v>14</v>
      </c>
      <c r="Q294" s="20">
        <v>10</v>
      </c>
      <c r="R294" s="25">
        <v>210</v>
      </c>
      <c r="S294" s="25">
        <v>160</v>
      </c>
      <c r="T294" s="25">
        <v>46.392083333333296</v>
      </c>
      <c r="U294" s="25">
        <v>154</v>
      </c>
      <c r="V294" s="25">
        <v>140</v>
      </c>
      <c r="W294" s="25">
        <v>72.2993506493507</v>
      </c>
      <c r="X294" s="25">
        <v>80.440283219181296</v>
      </c>
      <c r="Y294" s="20" t="s">
        <v>102</v>
      </c>
      <c r="Z294" s="25">
        <v>3220</v>
      </c>
      <c r="AA294" s="25">
        <v>280</v>
      </c>
      <c r="AB294" s="25">
        <v>3500</v>
      </c>
      <c r="AC294" s="25">
        <v>8.6023252670426302</v>
      </c>
      <c r="AD294" s="25">
        <v>8.6023252670426302</v>
      </c>
      <c r="AE294" s="25">
        <v>8.6023252670426302</v>
      </c>
      <c r="AF294" s="25">
        <v>50.562862732864801</v>
      </c>
      <c r="AG294" s="25">
        <v>49.802431473635501</v>
      </c>
      <c r="AH294" s="25">
        <v>33.038016446559197</v>
      </c>
      <c r="AI294" s="25">
        <v>30.249342447954099</v>
      </c>
      <c r="AJ294" s="25">
        <v>24.399605256926399</v>
      </c>
      <c r="AK294" s="25">
        <v>19.085922195458298</v>
      </c>
      <c r="AL294" s="20">
        <v>3.7563419785743699</v>
      </c>
      <c r="AM294" s="20">
        <v>24.119883529569499</v>
      </c>
      <c r="AN294" s="20" t="s">
        <v>58</v>
      </c>
    </row>
    <row r="295" spans="1:40" x14ac:dyDescent="0.25">
      <c r="A295" s="20">
        <v>293</v>
      </c>
      <c r="B295" s="20" t="s">
        <v>360</v>
      </c>
      <c r="C295" s="20" t="s">
        <v>61</v>
      </c>
      <c r="D295">
        <v>1</v>
      </c>
      <c r="E295" s="20" t="str">
        <f t="shared" si="4"/>
        <v>HAYE</v>
      </c>
      <c r="F295" s="20">
        <v>-10.674099999999999</v>
      </c>
      <c r="G295" s="20">
        <v>161.33510000000001</v>
      </c>
      <c r="H295" s="20">
        <v>41</v>
      </c>
      <c r="I295" s="20">
        <v>7.79</v>
      </c>
      <c r="J295" s="20">
        <v>290</v>
      </c>
      <c r="K295" s="20">
        <v>50</v>
      </c>
      <c r="L295" s="20">
        <v>60.894227719311601</v>
      </c>
      <c r="M295" s="20">
        <v>3.23</v>
      </c>
      <c r="N295" s="20">
        <v>19</v>
      </c>
      <c r="O295" s="20">
        <v>15</v>
      </c>
      <c r="P295" s="20">
        <v>7</v>
      </c>
      <c r="Q295" s="20">
        <v>5.8</v>
      </c>
      <c r="R295" s="25">
        <v>133</v>
      </c>
      <c r="S295" s="25">
        <v>87</v>
      </c>
      <c r="T295" s="25">
        <v>87.211228070175395</v>
      </c>
      <c r="U295" s="25">
        <v>63</v>
      </c>
      <c r="V295" s="25">
        <v>63.8</v>
      </c>
      <c r="W295" s="25">
        <v>251.062626262626</v>
      </c>
      <c r="X295" s="25">
        <v>202.07839329708</v>
      </c>
      <c r="Y295" s="20" t="s">
        <v>102</v>
      </c>
      <c r="Z295" s="25">
        <v>1096.2</v>
      </c>
      <c r="AA295" s="25">
        <v>649.6</v>
      </c>
      <c r="AB295" s="25">
        <v>1745.8</v>
      </c>
      <c r="AC295" s="25">
        <v>10.893117092917</v>
      </c>
      <c r="AD295" s="25">
        <v>9.3776329636001403</v>
      </c>
      <c r="AE295" s="25">
        <v>4.5453272709453998</v>
      </c>
      <c r="AF295" s="25">
        <v>80.503349674898104</v>
      </c>
      <c r="AG295" s="25">
        <v>43.197693721075296</v>
      </c>
      <c r="AH295" s="25">
        <v>21.418393485039601</v>
      </c>
      <c r="AI295" s="25">
        <v>13.9142553814571</v>
      </c>
      <c r="AJ295" s="25">
        <v>15.4835093126706</v>
      </c>
      <c r="AK295" s="25">
        <v>11.6934462646949</v>
      </c>
      <c r="AL295" s="20">
        <v>4.1706308611527803</v>
      </c>
      <c r="AM295" s="20">
        <v>4.0859407937462899</v>
      </c>
      <c r="AN295" s="20" t="s">
        <v>58</v>
      </c>
    </row>
    <row r="296" spans="1:40" x14ac:dyDescent="0.25">
      <c r="A296" s="20">
        <v>294</v>
      </c>
      <c r="B296" s="20" t="s">
        <v>361</v>
      </c>
      <c r="C296" s="20" t="s">
        <v>61</v>
      </c>
      <c r="D296">
        <v>1</v>
      </c>
      <c r="E296" s="20" t="str">
        <f t="shared" si="4"/>
        <v>HAYE</v>
      </c>
      <c r="F296" s="20">
        <v>-55.339399999999998</v>
      </c>
      <c r="G296" s="20">
        <v>-31.939399999999999</v>
      </c>
      <c r="H296" s="20">
        <v>12</v>
      </c>
      <c r="I296" s="20">
        <v>7.38</v>
      </c>
      <c r="J296" s="20">
        <v>133</v>
      </c>
      <c r="K296" s="20">
        <v>35</v>
      </c>
      <c r="L296" s="20">
        <v>101.897459991899</v>
      </c>
      <c r="M296" s="20">
        <v>4.7699999999999996</v>
      </c>
      <c r="N296" s="20">
        <v>18</v>
      </c>
      <c r="O296" s="20">
        <v>10</v>
      </c>
      <c r="P296" s="20">
        <v>5</v>
      </c>
      <c r="Q296" s="20">
        <v>3.6</v>
      </c>
      <c r="R296" s="25">
        <v>90</v>
      </c>
      <c r="S296" s="25">
        <v>36</v>
      </c>
      <c r="T296" s="25">
        <v>84.456166666666704</v>
      </c>
      <c r="U296" s="25">
        <v>65</v>
      </c>
      <c r="V296" s="25">
        <v>36</v>
      </c>
      <c r="W296" s="25">
        <v>116.93930769230801</v>
      </c>
      <c r="X296" s="25">
        <v>114.3577407865</v>
      </c>
      <c r="Y296" s="20" t="s">
        <v>102</v>
      </c>
      <c r="Z296" s="25">
        <v>576</v>
      </c>
      <c r="AA296" s="25">
        <v>324</v>
      </c>
      <c r="AB296" s="25">
        <v>900</v>
      </c>
      <c r="AC296" s="25">
        <v>24.5725456556703</v>
      </c>
      <c r="AD296" s="25">
        <v>3.0805843601498699</v>
      </c>
      <c r="AE296" s="25">
        <v>3.0805843601498699</v>
      </c>
      <c r="AF296" s="25">
        <v>34.0958724849337</v>
      </c>
      <c r="AG296" s="25">
        <v>20.319799258858001</v>
      </c>
      <c r="AH296" s="25">
        <v>11.048266614584801</v>
      </c>
      <c r="AI296" s="25">
        <v>7.1952052637932802</v>
      </c>
      <c r="AJ296" s="25">
        <v>10.117588955467401</v>
      </c>
      <c r="AK296" s="25">
        <v>7.0070034416878499</v>
      </c>
      <c r="AL296" s="20">
        <v>11.9597319154737</v>
      </c>
      <c r="AM296" s="20">
        <v>4.3464207170958504</v>
      </c>
      <c r="AN296" s="20" t="s">
        <v>58</v>
      </c>
    </row>
    <row r="297" spans="1:40" x14ac:dyDescent="0.25">
      <c r="A297" s="20">
        <v>295</v>
      </c>
      <c r="B297" s="20" t="s">
        <v>362</v>
      </c>
      <c r="C297" s="20" t="s">
        <v>56</v>
      </c>
      <c r="D297">
        <v>0</v>
      </c>
      <c r="E297" s="20" t="str">
        <f t="shared" si="4"/>
        <v>HAYE</v>
      </c>
      <c r="F297" s="20">
        <v>-56.257100000000001</v>
      </c>
      <c r="G297" s="20">
        <v>-27.0364</v>
      </c>
      <c r="H297" s="20">
        <v>78</v>
      </c>
      <c r="I297" s="20">
        <v>7.15</v>
      </c>
      <c r="J297" s="20">
        <v>99</v>
      </c>
      <c r="K297" s="20">
        <v>67</v>
      </c>
      <c r="L297" s="20">
        <v>-53.8897024101325</v>
      </c>
      <c r="M297" s="20">
        <v>40.94</v>
      </c>
      <c r="N297" s="20">
        <v>15</v>
      </c>
      <c r="O297" s="20">
        <v>21</v>
      </c>
      <c r="P297" s="20">
        <v>5</v>
      </c>
      <c r="Q297" s="20">
        <v>3.5</v>
      </c>
      <c r="R297" s="25">
        <v>75</v>
      </c>
      <c r="S297" s="25">
        <v>73.5</v>
      </c>
      <c r="T297" s="25">
        <v>18.707555555555601</v>
      </c>
      <c r="U297" s="25">
        <v>40</v>
      </c>
      <c r="V297" s="25">
        <v>42</v>
      </c>
      <c r="W297" s="25">
        <v>61.384166666666701</v>
      </c>
      <c r="X297" s="25">
        <v>53.343725074072502</v>
      </c>
      <c r="Y297" s="20" t="s">
        <v>102</v>
      </c>
      <c r="Z297" s="25">
        <v>402.5</v>
      </c>
      <c r="AA297" s="25">
        <v>157.5</v>
      </c>
      <c r="AB297" s="25">
        <v>560</v>
      </c>
      <c r="AC297" s="25">
        <v>34.732009731658202</v>
      </c>
      <c r="AD297" s="25">
        <v>3.05163890393343</v>
      </c>
      <c r="AE297" s="25">
        <v>3.05163890393343</v>
      </c>
      <c r="AF297" s="25">
        <v>31.343823477184198</v>
      </c>
      <c r="AG297" s="25">
        <v>28.741967259523101</v>
      </c>
      <c r="AH297" s="25">
        <v>11.197426560300899</v>
      </c>
      <c r="AI297" s="25">
        <v>9.2024875760492808</v>
      </c>
      <c r="AJ297" s="25">
        <v>9.7980115751035903</v>
      </c>
      <c r="AK297" s="25">
        <v>7.2866460195825997</v>
      </c>
      <c r="AL297" s="20">
        <v>6.2002849910306601</v>
      </c>
      <c r="AM297" s="20">
        <v>7.9955041429543403</v>
      </c>
      <c r="AN297" s="20" t="s">
        <v>58</v>
      </c>
    </row>
    <row r="298" spans="1:40" x14ac:dyDescent="0.25">
      <c r="A298" s="20">
        <v>296</v>
      </c>
      <c r="B298" s="20" t="s">
        <v>363</v>
      </c>
      <c r="C298" s="20" t="s">
        <v>63</v>
      </c>
      <c r="D298">
        <v>0</v>
      </c>
      <c r="E298" s="20" t="str">
        <f t="shared" si="4"/>
        <v>HAYE</v>
      </c>
      <c r="F298" s="20">
        <v>-4.9050000000000002</v>
      </c>
      <c r="G298" s="20">
        <v>94.236000000000004</v>
      </c>
      <c r="H298" s="20">
        <v>23</v>
      </c>
      <c r="I298" s="20">
        <v>7.77</v>
      </c>
      <c r="J298" s="20">
        <v>5</v>
      </c>
      <c r="K298" s="20">
        <v>79</v>
      </c>
      <c r="L298" s="20">
        <v>4.0965831512042596</v>
      </c>
      <c r="M298" s="20">
        <v>0.91</v>
      </c>
      <c r="N298" s="20">
        <v>25</v>
      </c>
      <c r="O298" s="20">
        <v>9</v>
      </c>
      <c r="P298" s="20">
        <v>10</v>
      </c>
      <c r="Q298" s="20">
        <v>5</v>
      </c>
      <c r="R298" s="25">
        <v>250</v>
      </c>
      <c r="S298" s="25">
        <v>45</v>
      </c>
      <c r="T298" s="25">
        <v>165.57751111111099</v>
      </c>
      <c r="U298" s="25">
        <v>110</v>
      </c>
      <c r="V298" s="25">
        <v>25</v>
      </c>
      <c r="W298" s="25">
        <v>677.36254545454597</v>
      </c>
      <c r="X298" s="25">
        <v>722.59432730765695</v>
      </c>
      <c r="Y298" s="20" t="s">
        <v>102</v>
      </c>
      <c r="Z298" s="25">
        <v>400</v>
      </c>
      <c r="AA298" s="25">
        <v>700</v>
      </c>
      <c r="AB298" s="25">
        <v>1100</v>
      </c>
      <c r="AC298" s="25">
        <v>27.950849718747399</v>
      </c>
      <c r="AD298" s="25">
        <v>9.0138781886599695</v>
      </c>
      <c r="AE298" s="25">
        <v>13.462912017836301</v>
      </c>
      <c r="AF298" s="25">
        <v>81.884296267699895</v>
      </c>
      <c r="AG298" s="25">
        <v>6.6420562292461902</v>
      </c>
      <c r="AH298" s="25">
        <v>25.049835497812001</v>
      </c>
      <c r="AI298" s="25">
        <v>5.2284667276631902</v>
      </c>
      <c r="AJ298" s="25">
        <v>20.887028194481999</v>
      </c>
      <c r="AK298" s="25">
        <v>8.6554566373613806</v>
      </c>
      <c r="AL298" s="20">
        <v>19.636737524599098</v>
      </c>
      <c r="AM298" s="20">
        <v>17.222374173150499</v>
      </c>
      <c r="AN298" s="20" t="s">
        <v>58</v>
      </c>
    </row>
    <row r="299" spans="1:40" x14ac:dyDescent="0.25">
      <c r="A299" s="20">
        <v>297</v>
      </c>
      <c r="B299" s="20" t="s">
        <v>364</v>
      </c>
      <c r="C299" s="20" t="s">
        <v>80</v>
      </c>
      <c r="D299">
        <v>0</v>
      </c>
      <c r="E299" s="20" t="str">
        <f t="shared" si="4"/>
        <v>PIZZ</v>
      </c>
      <c r="F299" s="20">
        <v>42.88</v>
      </c>
      <c r="G299" s="20">
        <v>13.1</v>
      </c>
      <c r="H299" s="20">
        <v>7.5</v>
      </c>
      <c r="I299" s="20">
        <v>6.09</v>
      </c>
      <c r="J299" s="20">
        <v>160</v>
      </c>
      <c r="K299" s="20">
        <v>40</v>
      </c>
      <c r="L299" s="20">
        <v>-80</v>
      </c>
      <c r="M299" s="20">
        <v>1.20068142507</v>
      </c>
      <c r="N299" s="20">
        <v>25</v>
      </c>
      <c r="O299" s="20">
        <v>13</v>
      </c>
      <c r="P299" s="20">
        <v>1.2</v>
      </c>
      <c r="Q299" s="20">
        <v>1</v>
      </c>
      <c r="R299">
        <v>30</v>
      </c>
      <c r="S299">
        <v>13</v>
      </c>
      <c r="T299">
        <v>13.6264615384615</v>
      </c>
      <c r="U299">
        <v>25.2</v>
      </c>
      <c r="V299">
        <v>12</v>
      </c>
      <c r="W299">
        <v>17.573809523809501</v>
      </c>
      <c r="X299">
        <v>11.6005507770266</v>
      </c>
      <c r="Y299" s="20" t="s">
        <v>76</v>
      </c>
      <c r="Z299">
        <v>90</v>
      </c>
      <c r="AA299">
        <v>75.599999999999994</v>
      </c>
      <c r="AB299">
        <v>165.6</v>
      </c>
      <c r="AC299">
        <v>10.4403065089106</v>
      </c>
      <c r="AD299">
        <v>0.80000000000000104</v>
      </c>
      <c r="AE299">
        <v>0.39999999999999702</v>
      </c>
      <c r="AF299">
        <v>17.6498287180403</v>
      </c>
      <c r="AG299">
        <v>12.0351879702361</v>
      </c>
      <c r="AH299">
        <v>6.8841942743151501</v>
      </c>
      <c r="AI299">
        <v>5.2380402978850302</v>
      </c>
      <c r="AJ299">
        <v>2.6496390660379601</v>
      </c>
      <c r="AK299">
        <v>2.2123644897053101</v>
      </c>
      <c r="AL299" s="20">
        <v>6.18370651632174</v>
      </c>
      <c r="AM299" s="20">
        <v>5.6185593491570396</v>
      </c>
      <c r="AN299" s="20" t="s">
        <v>58</v>
      </c>
    </row>
    <row r="300" spans="1:40" x14ac:dyDescent="0.25">
      <c r="A300" s="20">
        <v>298</v>
      </c>
      <c r="B300" s="20" t="s">
        <v>365</v>
      </c>
      <c r="C300" s="20" t="s">
        <v>61</v>
      </c>
      <c r="D300">
        <v>1</v>
      </c>
      <c r="E300" s="20" t="str">
        <f t="shared" si="4"/>
        <v>HAYE</v>
      </c>
      <c r="F300" s="20">
        <v>-16.094100000000001</v>
      </c>
      <c r="G300" s="20">
        <v>167.33680000000001</v>
      </c>
      <c r="H300" s="20">
        <v>35</v>
      </c>
      <c r="I300" s="20">
        <v>6.98</v>
      </c>
      <c r="J300" s="20">
        <v>332</v>
      </c>
      <c r="K300" s="20">
        <v>37</v>
      </c>
      <c r="L300" s="20">
        <v>84.922552085618193</v>
      </c>
      <c r="M300" s="20">
        <v>19.350000000000001</v>
      </c>
      <c r="N300" s="20">
        <v>11</v>
      </c>
      <c r="O300" s="20">
        <v>13</v>
      </c>
      <c r="P300" s="20">
        <v>5</v>
      </c>
      <c r="Q300" s="20">
        <v>4</v>
      </c>
      <c r="R300" s="25">
        <v>55</v>
      </c>
      <c r="S300" s="25">
        <v>52</v>
      </c>
      <c r="T300" s="25">
        <v>19.9931468531469</v>
      </c>
      <c r="U300" s="25">
        <v>30</v>
      </c>
      <c r="V300" s="25">
        <v>28</v>
      </c>
      <c r="W300" s="25">
        <v>68.071904761904804</v>
      </c>
      <c r="X300" s="25">
        <v>61.557450084752404</v>
      </c>
      <c r="Y300" s="20" t="s">
        <v>102</v>
      </c>
      <c r="Z300" s="25">
        <v>220</v>
      </c>
      <c r="AA300" s="25">
        <v>60</v>
      </c>
      <c r="AB300" s="25">
        <v>280</v>
      </c>
      <c r="AC300" s="25">
        <v>7.7620873481300103</v>
      </c>
      <c r="AD300" s="25">
        <v>3.2015621187164198</v>
      </c>
      <c r="AE300" s="25">
        <v>3.2015621187164198</v>
      </c>
      <c r="AF300" s="25">
        <v>15.6464962589967</v>
      </c>
      <c r="AG300" s="25">
        <v>25.527155149511501</v>
      </c>
      <c r="AH300" s="25">
        <v>7.2101129178352403</v>
      </c>
      <c r="AI300" s="25">
        <v>8.5180996906947097</v>
      </c>
      <c r="AJ300" s="25">
        <v>9.0633316987336396</v>
      </c>
      <c r="AK300" s="25">
        <v>8.1452098764927392</v>
      </c>
      <c r="AL300" s="20">
        <v>2.0502251973868599</v>
      </c>
      <c r="AM300" s="20">
        <v>2.4785060701963202</v>
      </c>
      <c r="AN300" s="20" t="s">
        <v>58</v>
      </c>
    </row>
    <row r="301" spans="1:40" x14ac:dyDescent="0.25">
      <c r="A301" s="20">
        <v>299</v>
      </c>
      <c r="B301" s="20" t="s">
        <v>366</v>
      </c>
      <c r="C301" s="20" t="s">
        <v>80</v>
      </c>
      <c r="D301">
        <v>0</v>
      </c>
      <c r="E301" s="20" t="str">
        <f t="shared" si="4"/>
        <v>CHEL</v>
      </c>
      <c r="F301" s="20">
        <v>42.55</v>
      </c>
      <c r="G301" s="20">
        <v>13.29</v>
      </c>
      <c r="H301" s="20">
        <v>8.5</v>
      </c>
      <c r="I301" s="20">
        <v>5.95</v>
      </c>
      <c r="J301" s="20">
        <v>149.24</v>
      </c>
      <c r="K301" s="20">
        <v>48.78</v>
      </c>
      <c r="L301" s="20">
        <v>-101.92747715612001</v>
      </c>
      <c r="M301" s="20">
        <v>0</v>
      </c>
      <c r="N301" s="20">
        <v>14</v>
      </c>
      <c r="O301" s="20">
        <v>12</v>
      </c>
      <c r="P301" s="20">
        <v>1.5</v>
      </c>
      <c r="Q301" s="20">
        <v>1.5</v>
      </c>
      <c r="R301">
        <v>21</v>
      </c>
      <c r="S301">
        <v>18</v>
      </c>
      <c r="T301">
        <v>8.1169642857142907</v>
      </c>
      <c r="U301">
        <v>18</v>
      </c>
      <c r="V301">
        <v>15</v>
      </c>
      <c r="W301">
        <v>11.36375</v>
      </c>
      <c r="X301">
        <v>10.2083909597148</v>
      </c>
      <c r="Y301" s="20" t="s">
        <v>92</v>
      </c>
      <c r="Z301">
        <v>51.75</v>
      </c>
      <c r="AA301">
        <v>38.25</v>
      </c>
      <c r="AB301">
        <v>90</v>
      </c>
      <c r="AC301">
        <v>3.7856898459858002</v>
      </c>
      <c r="AD301">
        <v>0.70003400631683499</v>
      </c>
      <c r="AE301">
        <v>0.80002975569662504</v>
      </c>
      <c r="AF301">
        <v>14.9266646023489</v>
      </c>
      <c r="AG301">
        <v>12.856705991272699</v>
      </c>
      <c r="AH301">
        <v>4.2271412048247896</v>
      </c>
      <c r="AI301">
        <v>3.9211030466888199</v>
      </c>
      <c r="AJ301">
        <v>3.2320748461653399</v>
      </c>
      <c r="AK301">
        <v>3.1720953936241201</v>
      </c>
      <c r="AL301" s="20">
        <v>4.2453675753696496</v>
      </c>
      <c r="AM301" s="20">
        <v>4.3131090051145202</v>
      </c>
      <c r="AN301" s="20" t="s">
        <v>58</v>
      </c>
    </row>
    <row r="302" spans="1:40" x14ac:dyDescent="0.25">
      <c r="A302" s="20">
        <v>300</v>
      </c>
      <c r="B302" s="20" t="s">
        <v>367</v>
      </c>
      <c r="C302" s="20" t="s">
        <v>80</v>
      </c>
      <c r="D302">
        <v>1</v>
      </c>
      <c r="E302" s="20" t="str">
        <f t="shared" si="4"/>
        <v>OKUW</v>
      </c>
      <c r="F302" s="20">
        <v>14.85</v>
      </c>
      <c r="G302" s="20">
        <v>-94.11</v>
      </c>
      <c r="H302" s="20">
        <v>18</v>
      </c>
      <c r="I302" s="20">
        <v>8.1</v>
      </c>
      <c r="J302" s="20">
        <v>316</v>
      </c>
      <c r="K302" s="20">
        <v>81</v>
      </c>
      <c r="L302" s="20">
        <v>-77.548595698144396</v>
      </c>
      <c r="M302" s="20">
        <v>5.6539999999999999</v>
      </c>
      <c r="N302" s="20">
        <v>29</v>
      </c>
      <c r="O302" s="20">
        <v>13</v>
      </c>
      <c r="P302" s="20">
        <v>5</v>
      </c>
      <c r="Q302" s="20">
        <v>5</v>
      </c>
      <c r="R302">
        <v>145</v>
      </c>
      <c r="S302">
        <v>65</v>
      </c>
      <c r="T302">
        <v>539.09461538461505</v>
      </c>
      <c r="U302">
        <v>115</v>
      </c>
      <c r="V302">
        <v>65</v>
      </c>
      <c r="W302">
        <v>679.72799331103704</v>
      </c>
      <c r="X302">
        <v>505.76676734480299</v>
      </c>
      <c r="Y302" s="20" t="s">
        <v>76</v>
      </c>
      <c r="Z302">
        <v>1850</v>
      </c>
      <c r="AA302">
        <v>1050</v>
      </c>
      <c r="AB302">
        <v>2900</v>
      </c>
      <c r="AC302">
        <v>45.961940777125598</v>
      </c>
      <c r="AD302">
        <v>7.9056941504209499</v>
      </c>
      <c r="AE302">
        <v>22.638462845343501</v>
      </c>
      <c r="AF302">
        <v>144.999999999984</v>
      </c>
      <c r="AG302">
        <v>64.999999999999901</v>
      </c>
      <c r="AH302">
        <v>26.7386680987671</v>
      </c>
      <c r="AI302">
        <v>22.865978693929101</v>
      </c>
      <c r="AJ302">
        <v>12.0550645055131</v>
      </c>
      <c r="AK302">
        <v>12.0120616721481</v>
      </c>
      <c r="AL302" s="20">
        <v>46.332395761497203</v>
      </c>
      <c r="AM302" s="20">
        <v>47.358882366141202</v>
      </c>
      <c r="AN302" s="20" t="s">
        <v>58</v>
      </c>
    </row>
    <row r="303" spans="1:40" x14ac:dyDescent="0.25">
      <c r="A303" s="20">
        <v>301</v>
      </c>
      <c r="B303" s="20" t="s">
        <v>368</v>
      </c>
      <c r="C303" s="20" t="s">
        <v>61</v>
      </c>
      <c r="D303">
        <v>1</v>
      </c>
      <c r="E303" s="20" t="str">
        <f t="shared" si="4"/>
        <v>HAYE</v>
      </c>
      <c r="F303" s="20">
        <v>-6.2668999999999997</v>
      </c>
      <c r="G303" s="20">
        <v>155.1189</v>
      </c>
      <c r="H303" s="20">
        <v>136</v>
      </c>
      <c r="I303" s="20">
        <v>7.88</v>
      </c>
      <c r="J303" s="20">
        <v>298</v>
      </c>
      <c r="K303" s="20">
        <v>37</v>
      </c>
      <c r="L303" s="20">
        <v>64.762776976849594</v>
      </c>
      <c r="M303" s="20">
        <v>112.83</v>
      </c>
      <c r="N303" s="20">
        <v>15</v>
      </c>
      <c r="O303" s="20">
        <v>15</v>
      </c>
      <c r="P303" s="20">
        <v>8</v>
      </c>
      <c r="Q303" s="20">
        <v>7</v>
      </c>
      <c r="R303" s="25">
        <v>120</v>
      </c>
      <c r="S303" s="25">
        <v>105</v>
      </c>
      <c r="T303" s="25">
        <v>103.234044444444</v>
      </c>
      <c r="U303" s="25">
        <v>72</v>
      </c>
      <c r="V303" s="25">
        <v>56</v>
      </c>
      <c r="W303" s="25">
        <v>322.606388888889</v>
      </c>
      <c r="X303" s="25">
        <v>355.41489982368398</v>
      </c>
      <c r="Y303" s="20" t="s">
        <v>102</v>
      </c>
      <c r="Z303" s="25">
        <v>728</v>
      </c>
      <c r="AA303" s="25">
        <v>504</v>
      </c>
      <c r="AB303" s="25">
        <v>1232</v>
      </c>
      <c r="AC303" s="25">
        <v>29.904013108611402</v>
      </c>
      <c r="AD303" s="25">
        <v>5.3150729063673303</v>
      </c>
      <c r="AE303" s="25">
        <v>11.2361025271221</v>
      </c>
      <c r="AF303" s="25">
        <v>40.985624024691802</v>
      </c>
      <c r="AG303" s="25">
        <v>62.638101712434498</v>
      </c>
      <c r="AH303" s="25">
        <v>15.599372138496699</v>
      </c>
      <c r="AI303" s="25">
        <v>18.354590145613901</v>
      </c>
      <c r="AJ303" s="25">
        <v>15.6655918290662</v>
      </c>
      <c r="AK303" s="25">
        <v>14.9854401923913</v>
      </c>
      <c r="AL303" s="20">
        <v>21.333621515579601</v>
      </c>
      <c r="AM303" s="20">
        <v>19.2460628223021</v>
      </c>
      <c r="AN303" s="20" t="s">
        <v>58</v>
      </c>
    </row>
    <row r="304" spans="1:40" x14ac:dyDescent="0.25">
      <c r="A304" s="20">
        <v>302</v>
      </c>
      <c r="B304" s="20" t="s">
        <v>369</v>
      </c>
      <c r="C304" s="20" t="s">
        <v>61</v>
      </c>
      <c r="D304">
        <v>0</v>
      </c>
      <c r="E304" s="20" t="str">
        <f t="shared" si="4"/>
        <v>KOBA</v>
      </c>
      <c r="F304" s="20">
        <v>42.682099999999998</v>
      </c>
      <c r="G304" s="20">
        <v>142.02539999999999</v>
      </c>
      <c r="H304" s="20">
        <v>41.408200000000001</v>
      </c>
      <c r="I304" s="20">
        <v>6.59</v>
      </c>
      <c r="J304" s="20">
        <v>350</v>
      </c>
      <c r="K304" s="20">
        <v>70</v>
      </c>
      <c r="L304" s="20">
        <v>103.78</v>
      </c>
      <c r="M304" s="20">
        <v>14.6</v>
      </c>
      <c r="N304" s="20">
        <v>7</v>
      </c>
      <c r="O304" s="20">
        <v>10</v>
      </c>
      <c r="P304" s="20">
        <v>3</v>
      </c>
      <c r="Q304" s="20">
        <v>3</v>
      </c>
      <c r="R304">
        <v>21</v>
      </c>
      <c r="S304">
        <v>30</v>
      </c>
      <c r="T304">
        <v>42.125999999999998</v>
      </c>
      <c r="U304">
        <v>21</v>
      </c>
      <c r="V304">
        <v>24</v>
      </c>
      <c r="W304">
        <v>52.657499999999999</v>
      </c>
      <c r="X304">
        <v>58.00902637878</v>
      </c>
      <c r="Y304" s="20" t="s">
        <v>69</v>
      </c>
      <c r="Z304">
        <v>63</v>
      </c>
      <c r="AA304">
        <v>18</v>
      </c>
      <c r="AB304">
        <v>81</v>
      </c>
      <c r="AC304">
        <v>16.568041525780899</v>
      </c>
      <c r="AD304">
        <v>12.903487900563899</v>
      </c>
      <c r="AE304">
        <v>19.557607215607899</v>
      </c>
      <c r="AF304">
        <v>7.6229721536769599</v>
      </c>
      <c r="AG304">
        <v>5.0561896637839903</v>
      </c>
      <c r="AH304">
        <v>7.8779482548060402</v>
      </c>
      <c r="AI304">
        <v>5.1934995274502</v>
      </c>
      <c r="AJ304">
        <v>4.9495938046597301</v>
      </c>
      <c r="AK304">
        <v>4.2860991864119002</v>
      </c>
      <c r="AL304" s="20">
        <v>20.533408636901999</v>
      </c>
      <c r="AM304" s="20">
        <v>20.740491320361699</v>
      </c>
      <c r="AN304" s="20" t="s">
        <v>58</v>
      </c>
    </row>
    <row r="305" spans="1:40" x14ac:dyDescent="0.25">
      <c r="A305" s="20">
        <v>303</v>
      </c>
      <c r="B305" s="20" t="s">
        <v>370</v>
      </c>
      <c r="C305" s="20" t="s">
        <v>56</v>
      </c>
      <c r="D305">
        <v>1</v>
      </c>
      <c r="E305" s="20" t="str">
        <f t="shared" si="4"/>
        <v>SUNx</v>
      </c>
      <c r="F305" s="20">
        <v>37.9</v>
      </c>
      <c r="G305" s="20">
        <v>26.82</v>
      </c>
      <c r="H305" s="20">
        <v>10.039999999999999</v>
      </c>
      <c r="I305" s="20">
        <v>7.05</v>
      </c>
      <c r="J305" s="20">
        <v>276</v>
      </c>
      <c r="K305" s="20">
        <v>48</v>
      </c>
      <c r="L305" s="20">
        <v>-58.012799999999999</v>
      </c>
      <c r="M305" s="20">
        <v>0</v>
      </c>
      <c r="N305" s="20">
        <v>34</v>
      </c>
      <c r="O305" s="20">
        <v>11</v>
      </c>
      <c r="P305" s="20">
        <v>3</v>
      </c>
      <c r="Q305" s="20">
        <v>3</v>
      </c>
      <c r="R305">
        <v>102</v>
      </c>
      <c r="S305">
        <v>33</v>
      </c>
      <c r="T305">
        <v>43.582418876200002</v>
      </c>
      <c r="U305">
        <v>72</v>
      </c>
      <c r="V305">
        <v>30</v>
      </c>
      <c r="W305">
        <v>67.915936082078403</v>
      </c>
      <c r="X305">
        <v>74.746927019456194</v>
      </c>
      <c r="Y305" s="20" t="s">
        <v>64</v>
      </c>
      <c r="Z305">
        <v>396</v>
      </c>
      <c r="AA305">
        <v>81</v>
      </c>
      <c r="AB305">
        <v>477</v>
      </c>
      <c r="AC305">
        <v>19.209372712298499</v>
      </c>
      <c r="AD305">
        <v>0</v>
      </c>
      <c r="AE305">
        <v>0</v>
      </c>
      <c r="AF305">
        <v>16.6818495651458</v>
      </c>
      <c r="AG305">
        <v>15.201343101024801</v>
      </c>
      <c r="AH305">
        <v>11.9658343509322</v>
      </c>
      <c r="AI305">
        <v>11.078004627870399</v>
      </c>
      <c r="AJ305">
        <v>5.7072241962724197</v>
      </c>
      <c r="AK305">
        <v>5.6601538064887</v>
      </c>
      <c r="AL305" s="20">
        <v>2.9108944965422601</v>
      </c>
      <c r="AM305" s="20">
        <v>21.9544703422788</v>
      </c>
      <c r="AN305" s="20" t="s">
        <v>58</v>
      </c>
    </row>
    <row r="306" spans="1:40" x14ac:dyDescent="0.25">
      <c r="A306" s="20">
        <v>304</v>
      </c>
      <c r="B306" s="20" t="s">
        <v>371</v>
      </c>
      <c r="C306" s="20" t="s">
        <v>61</v>
      </c>
      <c r="D306" s="21">
        <v>0</v>
      </c>
      <c r="E306" s="20" t="s">
        <v>372</v>
      </c>
      <c r="F306" s="20">
        <v>36.468699999999998</v>
      </c>
      <c r="G306" s="20">
        <v>70.610600000000005</v>
      </c>
      <c r="H306" s="20">
        <v>213.5</v>
      </c>
      <c r="I306" s="20">
        <v>7.54</v>
      </c>
      <c r="J306" s="20">
        <v>106</v>
      </c>
      <c r="K306" s="20">
        <v>70</v>
      </c>
      <c r="L306" s="20">
        <v>91</v>
      </c>
      <c r="M306" s="20">
        <v>176.85</v>
      </c>
      <c r="N306" s="20">
        <v>17</v>
      </c>
      <c r="O306" s="20">
        <v>12</v>
      </c>
      <c r="P306" s="20">
        <v>6</v>
      </c>
      <c r="Q306" s="20">
        <v>6</v>
      </c>
      <c r="R306" s="21">
        <v>102</v>
      </c>
      <c r="S306" s="21">
        <v>72</v>
      </c>
      <c r="T306" s="21">
        <v>53.432156862745103</v>
      </c>
      <c r="U306" s="21">
        <v>42</v>
      </c>
      <c r="V306" s="21">
        <v>48</v>
      </c>
      <c r="W306" s="21">
        <v>194.64571428571401</v>
      </c>
      <c r="X306" s="21">
        <v>187.948590972425</v>
      </c>
      <c r="Y306" s="20" t="s">
        <v>102</v>
      </c>
      <c r="Z306" s="21">
        <v>396</v>
      </c>
      <c r="AA306" s="21">
        <v>324</v>
      </c>
      <c r="AB306" s="21">
        <v>720</v>
      </c>
      <c r="AC306" s="21">
        <v>17.4928556845359</v>
      </c>
      <c r="AD306" s="21">
        <v>4.2426406871192901</v>
      </c>
      <c r="AE306" s="21">
        <v>4.2426406871192901</v>
      </c>
      <c r="AF306" s="21">
        <v>34.005521844608502</v>
      </c>
      <c r="AG306" s="21">
        <v>36.1238206803529</v>
      </c>
      <c r="AH306" s="21">
        <v>12.0095606443434</v>
      </c>
      <c r="AI306" s="21">
        <v>12.3709836468401</v>
      </c>
      <c r="AJ306" s="21">
        <v>11.909030188274199</v>
      </c>
      <c r="AK306" s="21">
        <v>11.999221272297399</v>
      </c>
      <c r="AL306" s="20">
        <v>17.953800064888799</v>
      </c>
      <c r="AM306" s="20">
        <v>15.707608678917399</v>
      </c>
      <c r="AN306" s="20" t="s">
        <v>373</v>
      </c>
    </row>
    <row r="307" spans="1:40" x14ac:dyDescent="0.25">
      <c r="A307" s="20">
        <v>305</v>
      </c>
      <c r="B307" s="20" t="s">
        <v>374</v>
      </c>
      <c r="C307" s="20" t="s">
        <v>56</v>
      </c>
      <c r="D307">
        <v>0</v>
      </c>
      <c r="E307" s="20" t="s">
        <v>372</v>
      </c>
      <c r="F307" s="20">
        <v>-37.401000000000003</v>
      </c>
      <c r="G307" s="20">
        <v>179.05500000000001</v>
      </c>
      <c r="H307" s="20">
        <v>19</v>
      </c>
      <c r="I307" s="20">
        <v>7.02</v>
      </c>
      <c r="J307" s="20">
        <v>351</v>
      </c>
      <c r="K307" s="20">
        <v>26</v>
      </c>
      <c r="L307" s="20">
        <v>215</v>
      </c>
      <c r="M307" s="20">
        <v>4.2</v>
      </c>
      <c r="N307" s="20">
        <v>24</v>
      </c>
      <c r="O307" s="20">
        <v>16</v>
      </c>
      <c r="P307" s="20">
        <v>5</v>
      </c>
      <c r="Q307" s="20">
        <v>4.5</v>
      </c>
      <c r="R307">
        <v>120</v>
      </c>
      <c r="S307">
        <v>72</v>
      </c>
      <c r="T307">
        <v>10.2134635416667</v>
      </c>
      <c r="U307">
        <v>90</v>
      </c>
      <c r="V307">
        <v>63</v>
      </c>
      <c r="W307">
        <v>15.563373015872999</v>
      </c>
      <c r="X307">
        <v>21.907063847558099</v>
      </c>
      <c r="Y307" s="20" t="s">
        <v>102</v>
      </c>
      <c r="Z307">
        <v>855</v>
      </c>
      <c r="AA307">
        <v>157.5</v>
      </c>
      <c r="AB307">
        <v>1012.5</v>
      </c>
      <c r="AC307">
        <v>42.8230370244802</v>
      </c>
      <c r="AD307">
        <v>3.3634060117684301</v>
      </c>
      <c r="AE307">
        <v>3.3634060117684301</v>
      </c>
      <c r="AF307">
        <v>20.5654241014897</v>
      </c>
      <c r="AG307">
        <v>19.573092987918201</v>
      </c>
      <c r="AH307">
        <v>10.527074920305401</v>
      </c>
      <c r="AI307">
        <v>9.8470405342084497</v>
      </c>
      <c r="AJ307">
        <v>9.1271097169088407</v>
      </c>
      <c r="AK307">
        <v>8.3048583328078394</v>
      </c>
      <c r="AL307" s="20">
        <v>28.211973384362899</v>
      </c>
      <c r="AM307" s="20">
        <v>26.9896968300868</v>
      </c>
      <c r="AN307" s="20" t="s">
        <v>373</v>
      </c>
    </row>
    <row r="308" spans="1:40" x14ac:dyDescent="0.25">
      <c r="A308" s="20">
        <v>306</v>
      </c>
      <c r="B308" s="20" t="s">
        <v>375</v>
      </c>
      <c r="C308" s="20" t="s">
        <v>61</v>
      </c>
      <c r="D308">
        <v>1</v>
      </c>
      <c r="E308" s="20" t="s">
        <v>372</v>
      </c>
      <c r="F308" s="20">
        <v>-33.084400000000002</v>
      </c>
      <c r="G308" s="20">
        <v>-72.039699999999996</v>
      </c>
      <c r="H308" s="20">
        <v>27</v>
      </c>
      <c r="I308" s="20">
        <v>6.89</v>
      </c>
      <c r="J308" s="20">
        <v>4</v>
      </c>
      <c r="K308" s="20">
        <v>17</v>
      </c>
      <c r="L308" s="20">
        <v>99</v>
      </c>
      <c r="M308" s="20">
        <v>14.41</v>
      </c>
      <c r="N308" s="20">
        <v>21</v>
      </c>
      <c r="O308" s="20">
        <v>21</v>
      </c>
      <c r="P308" s="20">
        <v>5</v>
      </c>
      <c r="Q308" s="20">
        <v>4.0999999999999996</v>
      </c>
      <c r="R308">
        <v>105</v>
      </c>
      <c r="S308">
        <v>86.1</v>
      </c>
      <c r="T308">
        <v>4.5722222222222202</v>
      </c>
      <c r="U308">
        <v>40</v>
      </c>
      <c r="V308">
        <v>45.1</v>
      </c>
      <c r="W308">
        <v>22.9130681818182</v>
      </c>
      <c r="X308">
        <v>30.076750695299602</v>
      </c>
      <c r="Y308" s="20" t="s">
        <v>102</v>
      </c>
      <c r="Z308">
        <v>246</v>
      </c>
      <c r="AA308">
        <v>82</v>
      </c>
      <c r="AB308">
        <v>328</v>
      </c>
      <c r="AC308">
        <v>7.7751205778431496</v>
      </c>
      <c r="AD308">
        <v>3.2330326320654401</v>
      </c>
      <c r="AE308">
        <v>3.2330326320654401</v>
      </c>
      <c r="AF308">
        <v>15.403923491799601</v>
      </c>
      <c r="AG308">
        <v>16.0961748414623</v>
      </c>
      <c r="AH308">
        <v>6.8225681619945098</v>
      </c>
      <c r="AI308">
        <v>6.2733402282560098</v>
      </c>
      <c r="AJ308">
        <v>8.7856979516967808</v>
      </c>
      <c r="AK308">
        <v>7.5058071980061802</v>
      </c>
      <c r="AL308" s="20">
        <v>4.2927285879729196</v>
      </c>
      <c r="AM308" s="20">
        <v>4.0895186342649197</v>
      </c>
      <c r="AN308" s="20" t="s">
        <v>373</v>
      </c>
    </row>
    <row r="309" spans="1:40" x14ac:dyDescent="0.25">
      <c r="A309" s="20">
        <v>307</v>
      </c>
      <c r="B309" s="20" t="s">
        <v>376</v>
      </c>
      <c r="C309" s="20" t="s">
        <v>63</v>
      </c>
      <c r="D309">
        <v>0</v>
      </c>
      <c r="E309" s="20" t="s">
        <v>372</v>
      </c>
      <c r="F309" s="20">
        <v>17.4693</v>
      </c>
      <c r="G309" s="20">
        <v>-83.5197</v>
      </c>
      <c r="H309" s="20">
        <v>12</v>
      </c>
      <c r="I309" s="20">
        <v>7.52</v>
      </c>
      <c r="J309" s="20">
        <v>256</v>
      </c>
      <c r="K309" s="20">
        <v>85</v>
      </c>
      <c r="L309" s="20">
        <v>0</v>
      </c>
      <c r="M309" s="20">
        <v>4.5199999999999996</v>
      </c>
      <c r="N309" s="20">
        <v>21</v>
      </c>
      <c r="O309" s="20">
        <v>7</v>
      </c>
      <c r="P309" s="20">
        <v>5</v>
      </c>
      <c r="Q309" s="20">
        <v>3</v>
      </c>
      <c r="R309">
        <v>105</v>
      </c>
      <c r="S309">
        <v>21</v>
      </c>
      <c r="T309">
        <v>354.36884353741499</v>
      </c>
      <c r="U309">
        <v>65</v>
      </c>
      <c r="V309">
        <v>18</v>
      </c>
      <c r="W309">
        <v>667.84897435897403</v>
      </c>
      <c r="X309">
        <v>756.51979963325698</v>
      </c>
      <c r="Y309" s="20" t="s">
        <v>102</v>
      </c>
      <c r="Z309">
        <v>195</v>
      </c>
      <c r="AA309">
        <v>120</v>
      </c>
      <c r="AB309">
        <v>315</v>
      </c>
      <c r="AC309">
        <v>8.7464278422679502</v>
      </c>
      <c r="AD309">
        <v>2.9154759474226499</v>
      </c>
      <c r="AE309">
        <v>2.9154759474226499</v>
      </c>
      <c r="AF309">
        <v>44.535842233980603</v>
      </c>
      <c r="AG309">
        <v>7.8844521256022899</v>
      </c>
      <c r="AH309">
        <v>12.5448816822965</v>
      </c>
      <c r="AI309">
        <v>4.6559609634860202</v>
      </c>
      <c r="AJ309">
        <v>10.4508752691789</v>
      </c>
      <c r="AK309">
        <v>5.7454604715138302</v>
      </c>
      <c r="AL309" s="20">
        <v>3.02720475191223</v>
      </c>
      <c r="AM309" s="20">
        <v>3.73924866918476</v>
      </c>
      <c r="AN309" s="20" t="s">
        <v>373</v>
      </c>
    </row>
    <row r="310" spans="1:40" x14ac:dyDescent="0.25">
      <c r="A310" s="20">
        <v>308</v>
      </c>
      <c r="B310" s="20" t="s">
        <v>377</v>
      </c>
      <c r="C310" s="20" t="s">
        <v>61</v>
      </c>
      <c r="D310">
        <v>1</v>
      </c>
      <c r="E310" s="20" t="s">
        <v>372</v>
      </c>
      <c r="F310" s="20">
        <v>19.37</v>
      </c>
      <c r="G310" s="20">
        <v>-155.03</v>
      </c>
      <c r="H310" s="20">
        <v>8</v>
      </c>
      <c r="I310" s="20">
        <v>6.88</v>
      </c>
      <c r="J310" s="20">
        <v>240</v>
      </c>
      <c r="K310" s="20">
        <v>20</v>
      </c>
      <c r="L310" s="20">
        <v>114</v>
      </c>
      <c r="M310" s="20">
        <v>4.1500000000000004</v>
      </c>
      <c r="N310" s="20">
        <v>27</v>
      </c>
      <c r="O310" s="20">
        <v>10</v>
      </c>
      <c r="P310" s="20">
        <v>4</v>
      </c>
      <c r="Q310" s="20">
        <v>2.5</v>
      </c>
      <c r="R310">
        <v>108</v>
      </c>
      <c r="S310">
        <v>25</v>
      </c>
      <c r="T310">
        <v>51.898851851851902</v>
      </c>
      <c r="U310">
        <v>84</v>
      </c>
      <c r="V310">
        <v>25</v>
      </c>
      <c r="W310">
        <v>66.727095238095302</v>
      </c>
      <c r="X310">
        <v>66.110093223340996</v>
      </c>
      <c r="Y310" s="20" t="s">
        <v>102</v>
      </c>
      <c r="Z310">
        <v>450</v>
      </c>
      <c r="AA310">
        <v>140</v>
      </c>
      <c r="AB310">
        <v>590</v>
      </c>
      <c r="AC310">
        <v>19.0541990122912</v>
      </c>
      <c r="AD310">
        <v>2.3584952830141499</v>
      </c>
      <c r="AE310">
        <v>2.3584952830141499</v>
      </c>
      <c r="AF310">
        <v>32.349436823038403</v>
      </c>
      <c r="AG310">
        <v>11.8268757144404</v>
      </c>
      <c r="AH310">
        <v>17.661163241341999</v>
      </c>
      <c r="AI310">
        <v>7.4840161175418896</v>
      </c>
      <c r="AJ310">
        <v>8.15573122416248</v>
      </c>
      <c r="AK310">
        <v>4.7744857542416899</v>
      </c>
      <c r="AL310" s="20">
        <v>12.4530437102742</v>
      </c>
      <c r="AM310" s="20">
        <v>5.9051578217690297</v>
      </c>
      <c r="AN310" s="20" t="s">
        <v>373</v>
      </c>
    </row>
    <row r="311" spans="1:40" x14ac:dyDescent="0.25">
      <c r="A311" s="20">
        <v>309</v>
      </c>
      <c r="B311" s="20" t="s">
        <v>378</v>
      </c>
      <c r="C311" s="20" t="s">
        <v>56</v>
      </c>
      <c r="D311">
        <v>1</v>
      </c>
      <c r="E311" s="20" t="s">
        <v>372</v>
      </c>
      <c r="F311" s="20">
        <v>-18.18</v>
      </c>
      <c r="G311" s="20">
        <v>-178.11</v>
      </c>
      <c r="H311" s="20">
        <v>563.4</v>
      </c>
      <c r="I311" s="20">
        <v>8.18</v>
      </c>
      <c r="J311" s="20">
        <v>12.91</v>
      </c>
      <c r="K311" s="20">
        <v>70.09</v>
      </c>
      <c r="L311" s="20">
        <v>263.95999999999998</v>
      </c>
      <c r="M311" s="20">
        <v>480.96</v>
      </c>
      <c r="N311" s="20">
        <v>14</v>
      </c>
      <c r="O311" s="20">
        <v>15</v>
      </c>
      <c r="P311" s="20">
        <v>11.69</v>
      </c>
      <c r="Q311" s="20">
        <v>11.69</v>
      </c>
      <c r="R311">
        <v>163.66</v>
      </c>
      <c r="S311">
        <v>175.35</v>
      </c>
      <c r="T311">
        <v>71.904190476190493</v>
      </c>
      <c r="U311">
        <v>116.9</v>
      </c>
      <c r="V311">
        <v>116.9</v>
      </c>
      <c r="W311">
        <v>150.99879999999999</v>
      </c>
      <c r="X311">
        <v>130.70162848808701</v>
      </c>
      <c r="Y311" s="20" t="s">
        <v>102</v>
      </c>
      <c r="Z311">
        <v>2869.7781</v>
      </c>
      <c r="AA311">
        <v>2596.4659000000001</v>
      </c>
      <c r="AB311">
        <v>5466.2439999999997</v>
      </c>
      <c r="AC311">
        <v>41.330391360353701</v>
      </c>
      <c r="AD311">
        <v>8.2660782720707395</v>
      </c>
      <c r="AE311">
        <v>8.2660782720707395</v>
      </c>
      <c r="AF311">
        <v>99.220703043438405</v>
      </c>
      <c r="AG311">
        <v>142.74847530105299</v>
      </c>
      <c r="AH311">
        <v>29.563119618760801</v>
      </c>
      <c r="AI311">
        <v>36.261419772752397</v>
      </c>
      <c r="AJ311">
        <v>24.222119835974901</v>
      </c>
      <c r="AK311">
        <v>25.564568345162701</v>
      </c>
      <c r="AL311" s="20">
        <v>37.567873843484897</v>
      </c>
      <c r="AM311" s="20">
        <v>32.616794190876597</v>
      </c>
      <c r="AN311" s="20" t="s">
        <v>373</v>
      </c>
    </row>
    <row r="312" spans="1:40" x14ac:dyDescent="0.25">
      <c r="A312" s="20">
        <v>310</v>
      </c>
      <c r="B312" s="20" t="s">
        <v>379</v>
      </c>
      <c r="C312" s="20" t="s">
        <v>61</v>
      </c>
      <c r="D312">
        <v>1</v>
      </c>
      <c r="E312" s="20" t="s">
        <v>372</v>
      </c>
      <c r="F312" s="20">
        <v>10.74</v>
      </c>
      <c r="G312" s="20">
        <v>-62.91</v>
      </c>
      <c r="H312" s="20">
        <v>123</v>
      </c>
      <c r="I312" s="20">
        <v>7.26</v>
      </c>
      <c r="J312" s="20">
        <v>85</v>
      </c>
      <c r="K312" s="20">
        <v>67</v>
      </c>
      <c r="L312" s="20">
        <v>117</v>
      </c>
      <c r="M312" s="20">
        <v>36.01</v>
      </c>
      <c r="N312" s="20">
        <v>21</v>
      </c>
      <c r="O312" s="20">
        <v>21</v>
      </c>
      <c r="P312" s="20">
        <v>9</v>
      </c>
      <c r="Q312" s="20">
        <v>9</v>
      </c>
      <c r="R312">
        <v>189</v>
      </c>
      <c r="S312">
        <v>189</v>
      </c>
      <c r="T312">
        <v>4.2549886621315203</v>
      </c>
      <c r="U312">
        <v>135</v>
      </c>
      <c r="V312">
        <v>108</v>
      </c>
      <c r="W312">
        <v>10.424722222222201</v>
      </c>
      <c r="X312">
        <v>17.929067377645801</v>
      </c>
      <c r="Y312" s="20" t="s">
        <v>102</v>
      </c>
      <c r="Z312">
        <v>1377</v>
      </c>
      <c r="AA312">
        <v>729</v>
      </c>
      <c r="AB312">
        <v>2106</v>
      </c>
      <c r="AC312">
        <v>46.330335634441496</v>
      </c>
      <c r="AD312">
        <v>6.3639610306789303</v>
      </c>
      <c r="AE312">
        <v>6.3639610306789303</v>
      </c>
      <c r="AF312">
        <v>32.6515699757039</v>
      </c>
      <c r="AG312">
        <v>21.144940540913801</v>
      </c>
      <c r="AH312">
        <v>21.634262327968301</v>
      </c>
      <c r="AI312">
        <v>15.304674612252001</v>
      </c>
      <c r="AJ312">
        <v>15.9379540100248</v>
      </c>
      <c r="AK312">
        <v>14.549298570826799</v>
      </c>
      <c r="AL312" s="20">
        <v>60.489131718433498</v>
      </c>
      <c r="AM312" s="20">
        <v>29.081704585701299</v>
      </c>
      <c r="AN312" s="20" t="s">
        <v>373</v>
      </c>
    </row>
    <row r="313" spans="1:40" x14ac:dyDescent="0.25">
      <c r="A313" s="20">
        <v>311</v>
      </c>
      <c r="B313" s="20" t="s">
        <v>380</v>
      </c>
      <c r="C313" s="20" t="s">
        <v>56</v>
      </c>
      <c r="D313">
        <v>1</v>
      </c>
      <c r="E313" s="20" t="s">
        <v>372</v>
      </c>
      <c r="F313" s="20">
        <v>-0.17810000000000001</v>
      </c>
      <c r="G313" s="20">
        <v>119.84010000000001</v>
      </c>
      <c r="H313" s="20">
        <v>10.4</v>
      </c>
      <c r="I313" s="20">
        <v>7.52</v>
      </c>
      <c r="J313" s="20">
        <v>358</v>
      </c>
      <c r="K313" s="20">
        <v>66</v>
      </c>
      <c r="L313" s="20">
        <v>343</v>
      </c>
      <c r="M313" s="20">
        <v>0</v>
      </c>
      <c r="N313" s="20">
        <v>33</v>
      </c>
      <c r="O313" s="20">
        <v>21</v>
      </c>
      <c r="P313" s="20">
        <v>8</v>
      </c>
      <c r="Q313" s="20">
        <v>1.75</v>
      </c>
      <c r="R313">
        <v>264</v>
      </c>
      <c r="S313">
        <v>36.75</v>
      </c>
      <c r="T313">
        <v>84.943578643578704</v>
      </c>
      <c r="U313">
        <v>200</v>
      </c>
      <c r="V313">
        <v>35</v>
      </c>
      <c r="W313">
        <v>117.73180000000001</v>
      </c>
      <c r="X313">
        <v>127.317422464651</v>
      </c>
      <c r="Y313" s="20" t="s">
        <v>102</v>
      </c>
      <c r="Z313">
        <v>336</v>
      </c>
      <c r="AA313">
        <v>98</v>
      </c>
      <c r="AB313">
        <v>434</v>
      </c>
      <c r="AC313">
        <v>116.02969716843999</v>
      </c>
      <c r="AD313">
        <v>4.0945848385397996</v>
      </c>
      <c r="AE313">
        <v>52.592923716028601</v>
      </c>
      <c r="AF313">
        <v>63.380484337678901</v>
      </c>
      <c r="AG313">
        <v>10.839296289977399</v>
      </c>
      <c r="AH313">
        <v>39.759583498086897</v>
      </c>
      <c r="AI313">
        <v>7.1752213115910601</v>
      </c>
      <c r="AJ313">
        <v>16.143344036195199</v>
      </c>
      <c r="AK313">
        <v>3.44789842310011</v>
      </c>
      <c r="AL313" s="20">
        <v>68.991299690105905</v>
      </c>
      <c r="AM313" s="20">
        <v>68.5885082903106</v>
      </c>
      <c r="AN313" s="20" t="s">
        <v>373</v>
      </c>
    </row>
    <row r="314" spans="1:40" x14ac:dyDescent="0.25">
      <c r="A314" s="20">
        <v>312</v>
      </c>
      <c r="B314" s="20" t="s">
        <v>381</v>
      </c>
      <c r="C314" s="20" t="s">
        <v>61</v>
      </c>
      <c r="D314">
        <v>1</v>
      </c>
      <c r="E314" s="20" t="s">
        <v>372</v>
      </c>
      <c r="F314" s="20">
        <v>-5.7392000000000003</v>
      </c>
      <c r="G314" s="20">
        <v>151.2509</v>
      </c>
      <c r="H314" s="20">
        <v>40</v>
      </c>
      <c r="I314" s="20">
        <v>7.01</v>
      </c>
      <c r="J314" s="20">
        <v>244</v>
      </c>
      <c r="K314" s="20">
        <v>36</v>
      </c>
      <c r="L314" s="20">
        <v>70</v>
      </c>
      <c r="M314" s="20">
        <v>17.95</v>
      </c>
      <c r="N314" s="20">
        <v>17</v>
      </c>
      <c r="O314" s="20">
        <v>15</v>
      </c>
      <c r="P314" s="20">
        <v>5</v>
      </c>
      <c r="Q314" s="20">
        <v>5</v>
      </c>
      <c r="R314">
        <v>85</v>
      </c>
      <c r="S314">
        <v>75</v>
      </c>
      <c r="T314">
        <v>10.8347450980392</v>
      </c>
      <c r="U314">
        <v>40</v>
      </c>
      <c r="V314">
        <v>45</v>
      </c>
      <c r="W314">
        <v>38.373055555555503</v>
      </c>
      <c r="X314">
        <v>37.355049222187802</v>
      </c>
      <c r="Y314" s="20" t="s">
        <v>102</v>
      </c>
      <c r="Z314">
        <v>350</v>
      </c>
      <c r="AA314">
        <v>175</v>
      </c>
      <c r="AB314">
        <v>525</v>
      </c>
      <c r="AC314">
        <v>14.577379737113301</v>
      </c>
      <c r="AD314">
        <v>3.53553390593274</v>
      </c>
      <c r="AE314">
        <v>3.53553390593274</v>
      </c>
      <c r="AF314">
        <v>27.3310494110519</v>
      </c>
      <c r="AG314">
        <v>29.710961189976999</v>
      </c>
      <c r="AH314">
        <v>9.7885643131639508</v>
      </c>
      <c r="AI314">
        <v>10.1576071327972</v>
      </c>
      <c r="AJ314">
        <v>9.9468828503540792</v>
      </c>
      <c r="AK314">
        <v>9.5989941640428</v>
      </c>
      <c r="AL314" s="20">
        <v>3.2303362208909498</v>
      </c>
      <c r="AM314" s="20">
        <v>3.4992610262739801</v>
      </c>
      <c r="AN314" s="20" t="s">
        <v>373</v>
      </c>
    </row>
    <row r="315" spans="1:40" x14ac:dyDescent="0.25">
      <c r="A315" s="20">
        <v>313</v>
      </c>
      <c r="B315" s="20" t="s">
        <v>382</v>
      </c>
      <c r="C315" s="20" t="s">
        <v>63</v>
      </c>
      <c r="D315">
        <v>0</v>
      </c>
      <c r="E315" s="20" t="s">
        <v>372</v>
      </c>
      <c r="F315" s="20">
        <v>37.340000000000003</v>
      </c>
      <c r="G315" s="20">
        <v>20.51</v>
      </c>
      <c r="H315" s="20">
        <v>10</v>
      </c>
      <c r="I315" s="20">
        <v>6.8</v>
      </c>
      <c r="J315" s="20">
        <v>13</v>
      </c>
      <c r="K315" s="20">
        <v>24</v>
      </c>
      <c r="L315" s="20">
        <v>165</v>
      </c>
      <c r="M315" s="20">
        <v>2.06</v>
      </c>
      <c r="N315" s="20">
        <v>19</v>
      </c>
      <c r="O315" s="20">
        <v>16</v>
      </c>
      <c r="P315" s="20">
        <v>3</v>
      </c>
      <c r="Q315" s="20">
        <v>3</v>
      </c>
      <c r="R315">
        <v>57</v>
      </c>
      <c r="S315">
        <v>48</v>
      </c>
      <c r="T315">
        <v>29.957434210526301</v>
      </c>
      <c r="U315">
        <v>39</v>
      </c>
      <c r="V315">
        <v>39</v>
      </c>
      <c r="W315">
        <v>53.887928994082799</v>
      </c>
      <c r="X315">
        <v>68.832321914230803</v>
      </c>
      <c r="Y315" s="20" t="s">
        <v>102</v>
      </c>
      <c r="Z315">
        <v>126</v>
      </c>
      <c r="AA315">
        <v>108</v>
      </c>
      <c r="AB315">
        <v>234</v>
      </c>
      <c r="AC315">
        <v>12.903487900563899</v>
      </c>
      <c r="AD315">
        <v>2.1213203435596402</v>
      </c>
      <c r="AE315">
        <v>2.1213203435596402</v>
      </c>
      <c r="AF315">
        <v>16.0683983383413</v>
      </c>
      <c r="AG315">
        <v>21.558137708297799</v>
      </c>
      <c r="AH315">
        <v>5.8957347084593499</v>
      </c>
      <c r="AI315">
        <v>6.7980338179307402</v>
      </c>
      <c r="AJ315">
        <v>5.88783302864136</v>
      </c>
      <c r="AK315">
        <v>6.0479968995955602</v>
      </c>
      <c r="AL315" s="20">
        <v>4.0813445835900701</v>
      </c>
      <c r="AM315" s="20">
        <v>5.7535289518694501</v>
      </c>
      <c r="AN315" s="20" t="s">
        <v>373</v>
      </c>
    </row>
    <row r="316" spans="1:40" x14ac:dyDescent="0.25">
      <c r="A316" s="20">
        <v>314</v>
      </c>
      <c r="B316" s="20" t="s">
        <v>383</v>
      </c>
      <c r="C316" s="20" t="s">
        <v>56</v>
      </c>
      <c r="D316">
        <v>1</v>
      </c>
      <c r="E316" s="20" t="s">
        <v>372</v>
      </c>
      <c r="F316" s="20">
        <v>61.34</v>
      </c>
      <c r="G316" s="20">
        <v>-149.93700000000001</v>
      </c>
      <c r="H316" s="20">
        <v>47</v>
      </c>
      <c r="I316" s="20">
        <v>7.01</v>
      </c>
      <c r="J316" s="20">
        <v>16</v>
      </c>
      <c r="K316" s="20">
        <v>29</v>
      </c>
      <c r="L316" s="20">
        <v>279</v>
      </c>
      <c r="M316" s="20">
        <v>32.450000000000003</v>
      </c>
      <c r="N316" s="20">
        <v>13</v>
      </c>
      <c r="O316" s="20">
        <v>14</v>
      </c>
      <c r="P316" s="20">
        <v>5</v>
      </c>
      <c r="Q316" s="20">
        <v>4</v>
      </c>
      <c r="R316">
        <v>65</v>
      </c>
      <c r="S316">
        <v>56</v>
      </c>
      <c r="T316">
        <v>17.3369230769231</v>
      </c>
      <c r="U316">
        <v>35</v>
      </c>
      <c r="V316">
        <v>32</v>
      </c>
      <c r="W316">
        <v>56.344999999999999</v>
      </c>
      <c r="X316">
        <v>54.371421433503301</v>
      </c>
      <c r="Y316" s="20" t="s">
        <v>102</v>
      </c>
      <c r="Z316">
        <v>260</v>
      </c>
      <c r="AA316">
        <v>120</v>
      </c>
      <c r="AB316">
        <v>380</v>
      </c>
      <c r="AC316">
        <v>12.658988901172201</v>
      </c>
      <c r="AD316">
        <v>3.2015621187164198</v>
      </c>
      <c r="AE316">
        <v>3.2015621187164198</v>
      </c>
      <c r="AF316">
        <v>19.590711884467598</v>
      </c>
      <c r="AG316">
        <v>22.119775289170398</v>
      </c>
      <c r="AH316">
        <v>7.9263605629560798</v>
      </c>
      <c r="AI316">
        <v>7.8269003334517402</v>
      </c>
      <c r="AJ316">
        <v>9.1169038764922501</v>
      </c>
      <c r="AK316">
        <v>7.9991945026665503</v>
      </c>
      <c r="AL316" s="20">
        <v>6.7700142695565999</v>
      </c>
      <c r="AM316" s="20">
        <v>8.4517272199237503</v>
      </c>
      <c r="AN316" s="20" t="s">
        <v>373</v>
      </c>
    </row>
    <row r="317" spans="1:40" x14ac:dyDescent="0.25">
      <c r="A317" s="20">
        <v>315</v>
      </c>
      <c r="B317" s="20" t="s">
        <v>384</v>
      </c>
      <c r="C317" s="20" t="s">
        <v>56</v>
      </c>
      <c r="D317">
        <v>1</v>
      </c>
      <c r="E317" s="20" t="s">
        <v>372</v>
      </c>
      <c r="F317" s="20">
        <v>-21.968499999999999</v>
      </c>
      <c r="G317" s="20">
        <v>169.44640000000001</v>
      </c>
      <c r="H317" s="20">
        <v>12</v>
      </c>
      <c r="I317" s="20">
        <v>7.52</v>
      </c>
      <c r="J317" s="20">
        <v>298</v>
      </c>
      <c r="K317" s="20">
        <v>43</v>
      </c>
      <c r="L317" s="20">
        <v>248</v>
      </c>
      <c r="M317" s="20">
        <v>3.47</v>
      </c>
      <c r="N317" s="20">
        <v>34</v>
      </c>
      <c r="O317" s="20">
        <v>8</v>
      </c>
      <c r="P317" s="20">
        <v>8</v>
      </c>
      <c r="Q317" s="20">
        <v>5</v>
      </c>
      <c r="R317">
        <v>272</v>
      </c>
      <c r="S317">
        <v>40</v>
      </c>
      <c r="T317">
        <v>50.556360294117603</v>
      </c>
      <c r="U317">
        <v>192</v>
      </c>
      <c r="V317">
        <v>40</v>
      </c>
      <c r="W317">
        <v>71.621510416666695</v>
      </c>
      <c r="X317">
        <v>79.414369074068304</v>
      </c>
      <c r="Y317" s="20" t="s">
        <v>102</v>
      </c>
      <c r="Z317">
        <v>1560</v>
      </c>
      <c r="AA317">
        <v>720</v>
      </c>
      <c r="AB317">
        <v>2280</v>
      </c>
      <c r="AC317">
        <v>86.638617255817294</v>
      </c>
      <c r="AD317">
        <v>4.7169905660282998</v>
      </c>
      <c r="AE317">
        <v>8.5</v>
      </c>
      <c r="AF317">
        <v>62.534990747211303</v>
      </c>
      <c r="AG317">
        <v>19.7105542901439</v>
      </c>
      <c r="AH317">
        <v>24.515854193389099</v>
      </c>
      <c r="AI317">
        <v>10.612863580398599</v>
      </c>
      <c r="AJ317">
        <v>16.074826891412499</v>
      </c>
      <c r="AK317">
        <v>9.5340681363591901</v>
      </c>
      <c r="AL317" s="20">
        <v>42.66299066322</v>
      </c>
      <c r="AM317" s="20">
        <v>17.0882495665882</v>
      </c>
      <c r="AN317" s="20" t="s">
        <v>373</v>
      </c>
    </row>
    <row r="318" spans="1:40" x14ac:dyDescent="0.25">
      <c r="A318" s="20">
        <v>316</v>
      </c>
      <c r="B318" s="20" t="s">
        <v>385</v>
      </c>
      <c r="C318" s="20" t="s">
        <v>56</v>
      </c>
      <c r="D318">
        <v>1</v>
      </c>
      <c r="E318" s="20" t="s">
        <v>372</v>
      </c>
      <c r="F318" s="20">
        <v>-14.6844</v>
      </c>
      <c r="G318" s="20">
        <v>-70.1267</v>
      </c>
      <c r="H318" s="20">
        <v>257</v>
      </c>
      <c r="I318" s="20">
        <v>6.98</v>
      </c>
      <c r="J318" s="20">
        <v>283</v>
      </c>
      <c r="K318" s="20">
        <v>78</v>
      </c>
      <c r="L318" s="20">
        <v>252</v>
      </c>
      <c r="M318" s="20">
        <v>232.05</v>
      </c>
      <c r="N318" s="20">
        <v>17</v>
      </c>
      <c r="O318" s="20">
        <v>19</v>
      </c>
      <c r="P318" s="20">
        <v>5</v>
      </c>
      <c r="Q318" s="20">
        <v>3</v>
      </c>
      <c r="R318">
        <v>85</v>
      </c>
      <c r="S318">
        <v>57</v>
      </c>
      <c r="T318">
        <v>11.761764705882401</v>
      </c>
      <c r="U318">
        <v>35</v>
      </c>
      <c r="V318">
        <v>30</v>
      </c>
      <c r="W318">
        <v>54.272142857142903</v>
      </c>
      <c r="X318">
        <v>66.320157333620898</v>
      </c>
      <c r="Y318" s="20" t="s">
        <v>102</v>
      </c>
      <c r="Z318">
        <v>180</v>
      </c>
      <c r="AA318">
        <v>135</v>
      </c>
      <c r="AB318">
        <v>315</v>
      </c>
      <c r="AC318">
        <v>5.1478150704935004</v>
      </c>
      <c r="AD318">
        <v>2.9154759474226499</v>
      </c>
      <c r="AE318">
        <v>2.9154759474226499</v>
      </c>
      <c r="AF318">
        <v>28.7281290918644</v>
      </c>
      <c r="AG318">
        <v>23.149159935696801</v>
      </c>
      <c r="AH318">
        <v>10.392940757496101</v>
      </c>
      <c r="AI318">
        <v>7.1365207410161302</v>
      </c>
      <c r="AJ318">
        <v>10.0353923496966</v>
      </c>
      <c r="AK318">
        <v>6.1621909892083702</v>
      </c>
      <c r="AL318" s="20">
        <v>2.6950947608572098</v>
      </c>
      <c r="AM318" s="20">
        <v>1.75844763925458</v>
      </c>
      <c r="AN318" s="20" t="s">
        <v>373</v>
      </c>
    </row>
    <row r="319" spans="1:40" x14ac:dyDescent="0.25">
      <c r="A319" s="20">
        <v>317</v>
      </c>
      <c r="B319" s="20" t="s">
        <v>386</v>
      </c>
      <c r="C319" s="20" t="s">
        <v>61</v>
      </c>
      <c r="D319">
        <v>1</v>
      </c>
      <c r="E319" s="20" t="s">
        <v>372</v>
      </c>
      <c r="F319" s="20">
        <v>-4.5091000000000001</v>
      </c>
      <c r="G319" s="20">
        <v>153.4495</v>
      </c>
      <c r="H319" s="20">
        <v>95</v>
      </c>
      <c r="I319" s="20">
        <v>7.88</v>
      </c>
      <c r="J319" s="20">
        <v>140</v>
      </c>
      <c r="K319" s="20">
        <v>48</v>
      </c>
      <c r="L319" s="20">
        <v>90</v>
      </c>
      <c r="M319" s="20">
        <v>-1.07</v>
      </c>
      <c r="N319" s="20">
        <v>19</v>
      </c>
      <c r="O319" s="20">
        <v>12</v>
      </c>
      <c r="P319" s="20">
        <v>19.2</v>
      </c>
      <c r="Q319" s="20">
        <v>10.5</v>
      </c>
      <c r="R319">
        <v>825.6</v>
      </c>
      <c r="S319">
        <v>126</v>
      </c>
      <c r="T319">
        <v>20.152199074074101</v>
      </c>
      <c r="U319">
        <v>384</v>
      </c>
      <c r="V319">
        <v>189</v>
      </c>
      <c r="W319">
        <v>24.182638888888899</v>
      </c>
      <c r="X319">
        <v>39.176127518307098</v>
      </c>
      <c r="Y319" s="20" t="s">
        <v>102</v>
      </c>
      <c r="Z319">
        <v>8668.7999999999993</v>
      </c>
      <c r="AA319">
        <v>3427.2</v>
      </c>
      <c r="AB319">
        <v>12096</v>
      </c>
      <c r="AC319">
        <v>295.73065870822398</v>
      </c>
      <c r="AD319">
        <v>10.9417777349021</v>
      </c>
      <c r="AE319">
        <v>67.354008789380899</v>
      </c>
      <c r="AF319">
        <v>133.049750169839</v>
      </c>
      <c r="AG319">
        <v>38.0627311836693</v>
      </c>
      <c r="AH319">
        <v>80.640886780296398</v>
      </c>
      <c r="AI319">
        <v>26.768557480217499</v>
      </c>
      <c r="AJ319">
        <v>37.795195345251599</v>
      </c>
      <c r="AK319">
        <v>19.0914620834501</v>
      </c>
      <c r="AL319" s="20">
        <v>264.42453198114998</v>
      </c>
      <c r="AM319" s="20">
        <v>229.33419204061099</v>
      </c>
      <c r="AN319" s="20" t="s">
        <v>373</v>
      </c>
    </row>
    <row r="320" spans="1:40" x14ac:dyDescent="0.25">
      <c r="A320" s="20">
        <v>318</v>
      </c>
      <c r="B320" s="20" t="s">
        <v>387</v>
      </c>
      <c r="C320" s="20" t="s">
        <v>63</v>
      </c>
      <c r="D320">
        <v>1</v>
      </c>
      <c r="E320" s="20" t="s">
        <v>372</v>
      </c>
      <c r="F320" s="20">
        <v>54.467300000000002</v>
      </c>
      <c r="G320" s="20">
        <v>168.8587</v>
      </c>
      <c r="H320" s="20">
        <v>12</v>
      </c>
      <c r="I320" s="20">
        <v>7.8</v>
      </c>
      <c r="J320" s="20">
        <v>307</v>
      </c>
      <c r="K320" s="20">
        <v>72</v>
      </c>
      <c r="L320" s="20">
        <v>174</v>
      </c>
      <c r="M320" s="20">
        <v>2.84</v>
      </c>
      <c r="N320" s="20">
        <v>25</v>
      </c>
      <c r="O320" s="20">
        <v>16</v>
      </c>
      <c r="P320" s="20">
        <v>15</v>
      </c>
      <c r="Q320" s="20">
        <v>3.85</v>
      </c>
      <c r="R320">
        <v>375</v>
      </c>
      <c r="S320">
        <v>61.6</v>
      </c>
      <c r="T320">
        <v>47.362650000000002</v>
      </c>
      <c r="U320">
        <v>345</v>
      </c>
      <c r="V320">
        <v>61.6</v>
      </c>
      <c r="W320">
        <v>51.481141304347801</v>
      </c>
      <c r="X320">
        <v>55.174144017035204</v>
      </c>
      <c r="Y320" s="20" t="s">
        <v>102</v>
      </c>
      <c r="Z320">
        <v>2194.5</v>
      </c>
      <c r="AA320">
        <v>693</v>
      </c>
      <c r="AB320">
        <v>2887.5</v>
      </c>
      <c r="AC320">
        <v>108.730242458113</v>
      </c>
      <c r="AD320">
        <v>7.7431017686712602</v>
      </c>
      <c r="AE320">
        <v>12.202074618686799</v>
      </c>
      <c r="AF320">
        <v>89.278249795392298</v>
      </c>
      <c r="AG320">
        <v>31.244792447847601</v>
      </c>
      <c r="AH320">
        <v>44.583910121198798</v>
      </c>
      <c r="AI320">
        <v>13.985224325227</v>
      </c>
      <c r="AJ320">
        <v>29.625287882581699</v>
      </c>
      <c r="AK320">
        <v>7.8110640960361799</v>
      </c>
      <c r="AL320" s="20">
        <v>19.165037977003902</v>
      </c>
      <c r="AM320" s="20">
        <v>18.286471971378202</v>
      </c>
      <c r="AN320" s="20" t="s">
        <v>373</v>
      </c>
    </row>
    <row r="321" spans="1:40" x14ac:dyDescent="0.25">
      <c r="A321" s="20">
        <v>319</v>
      </c>
      <c r="B321" s="20" t="s">
        <v>388</v>
      </c>
      <c r="C321" s="20" t="s">
        <v>56</v>
      </c>
      <c r="D321">
        <v>1</v>
      </c>
      <c r="E321" s="20" t="s">
        <v>372</v>
      </c>
      <c r="F321" s="20">
        <v>14.94</v>
      </c>
      <c r="G321" s="20">
        <v>-93.94</v>
      </c>
      <c r="H321" s="20">
        <v>47.4</v>
      </c>
      <c r="I321" s="20">
        <v>8.2899999999999991</v>
      </c>
      <c r="J321" s="20">
        <v>314</v>
      </c>
      <c r="K321" s="20">
        <v>81</v>
      </c>
      <c r="L321" s="20">
        <v>267</v>
      </c>
      <c r="M321" s="20">
        <v>13.17</v>
      </c>
      <c r="N321" s="20">
        <v>24</v>
      </c>
      <c r="O321" s="20">
        <v>8</v>
      </c>
      <c r="P321" s="20">
        <v>10</v>
      </c>
      <c r="Q321" s="20">
        <v>9.9</v>
      </c>
      <c r="R321">
        <v>240</v>
      </c>
      <c r="S321">
        <v>79.2</v>
      </c>
      <c r="T321">
        <v>297.777291666667</v>
      </c>
      <c r="U321">
        <v>140</v>
      </c>
      <c r="V321">
        <v>79.2</v>
      </c>
      <c r="W321">
        <v>510.47535714285698</v>
      </c>
      <c r="X321">
        <v>470.92114545980201</v>
      </c>
      <c r="Y321" s="20" t="s">
        <v>102</v>
      </c>
      <c r="Z321">
        <v>2277</v>
      </c>
      <c r="AA321">
        <v>792</v>
      </c>
      <c r="AB321">
        <v>3069</v>
      </c>
      <c r="AC321">
        <v>35.3483026466618</v>
      </c>
      <c r="AD321">
        <v>29.0778695918391</v>
      </c>
      <c r="AE321">
        <v>38.020027617033598</v>
      </c>
      <c r="AF321">
        <v>89.637954620441604</v>
      </c>
      <c r="AG321">
        <v>39.518834030821203</v>
      </c>
      <c r="AH321">
        <v>25.6436097221676</v>
      </c>
      <c r="AI321">
        <v>17.1682669688958</v>
      </c>
      <c r="AJ321">
        <v>21.055574767317299</v>
      </c>
      <c r="AK321">
        <v>18.943380930977099</v>
      </c>
      <c r="AL321" s="20">
        <v>53.525712796748401</v>
      </c>
      <c r="AM321" s="20">
        <v>55.048476042212101</v>
      </c>
      <c r="AN321" s="20" t="s">
        <v>373</v>
      </c>
    </row>
    <row r="322" spans="1:40" x14ac:dyDescent="0.25">
      <c r="A322" s="20">
        <v>320</v>
      </c>
      <c r="B322" s="20" t="s">
        <v>389</v>
      </c>
      <c r="C322" s="20" t="s">
        <v>56</v>
      </c>
      <c r="D322">
        <v>0</v>
      </c>
      <c r="E322" s="20" t="s">
        <v>372</v>
      </c>
      <c r="F322" s="20">
        <v>18.548999999999999</v>
      </c>
      <c r="G322" s="20">
        <v>-98.486999999999995</v>
      </c>
      <c r="H322" s="20">
        <v>51</v>
      </c>
      <c r="I322" s="20">
        <v>7.11</v>
      </c>
      <c r="J322" s="20">
        <v>111</v>
      </c>
      <c r="K322" s="20">
        <v>42</v>
      </c>
      <c r="L322" s="20">
        <v>269</v>
      </c>
      <c r="M322" s="20">
        <v>45.98</v>
      </c>
      <c r="N322" s="20">
        <v>25</v>
      </c>
      <c r="O322" s="20">
        <v>15</v>
      </c>
      <c r="P322" s="20">
        <v>3</v>
      </c>
      <c r="Q322" s="20">
        <v>3</v>
      </c>
      <c r="R322">
        <v>75</v>
      </c>
      <c r="S322">
        <v>45</v>
      </c>
      <c r="T322">
        <v>26.377759999999999</v>
      </c>
      <c r="U322">
        <v>48</v>
      </c>
      <c r="V322">
        <v>30</v>
      </c>
      <c r="W322">
        <v>61.822875000000003</v>
      </c>
      <c r="X322">
        <v>61.169597425586502</v>
      </c>
      <c r="Y322" s="20" t="s">
        <v>102</v>
      </c>
      <c r="Z322">
        <v>261</v>
      </c>
      <c r="AA322">
        <v>36</v>
      </c>
      <c r="AB322">
        <v>297</v>
      </c>
      <c r="AC322">
        <v>25.544079548889599</v>
      </c>
      <c r="AD322">
        <v>2.1213203435596402</v>
      </c>
      <c r="AE322">
        <v>2.1213203435596402</v>
      </c>
      <c r="AF322">
        <v>20.102289890996499</v>
      </c>
      <c r="AG322">
        <v>18.770907567519199</v>
      </c>
      <c r="AH322">
        <v>7.0820065402669803</v>
      </c>
      <c r="AI322">
        <v>6.9126887424214596</v>
      </c>
      <c r="AJ322">
        <v>5.9138960277486898</v>
      </c>
      <c r="AK322">
        <v>6.04590138453612</v>
      </c>
      <c r="AL322" s="20">
        <v>2.1638182109410198</v>
      </c>
      <c r="AM322" s="20">
        <v>0.27742719765733198</v>
      </c>
      <c r="AN322" s="20" t="s">
        <v>373</v>
      </c>
    </row>
    <row r="323" spans="1:40" x14ac:dyDescent="0.25">
      <c r="A323" s="20">
        <v>321</v>
      </c>
      <c r="B323" s="20" t="s">
        <v>390</v>
      </c>
      <c r="C323" s="20" t="s">
        <v>56</v>
      </c>
      <c r="D323">
        <v>0</v>
      </c>
      <c r="E323" s="20" t="s">
        <v>372</v>
      </c>
      <c r="F323" s="20">
        <v>34.896500000000003</v>
      </c>
      <c r="G323" s="20">
        <v>45.804499999999997</v>
      </c>
      <c r="H323" s="20">
        <v>15</v>
      </c>
      <c r="I323" s="20">
        <v>7.33</v>
      </c>
      <c r="J323" s="20">
        <v>354</v>
      </c>
      <c r="K323" s="20">
        <v>16</v>
      </c>
      <c r="L323" s="20">
        <v>138</v>
      </c>
      <c r="M323" s="20">
        <v>0.04</v>
      </c>
      <c r="N323" s="20">
        <v>30</v>
      </c>
      <c r="O323" s="20">
        <v>30</v>
      </c>
      <c r="P323" s="20">
        <v>3</v>
      </c>
      <c r="Q323" s="20">
        <v>3.5</v>
      </c>
      <c r="R323">
        <v>90</v>
      </c>
      <c r="S323">
        <v>105</v>
      </c>
      <c r="T323">
        <v>38.204666666666697</v>
      </c>
      <c r="U323">
        <v>57</v>
      </c>
      <c r="V323">
        <v>66.5</v>
      </c>
      <c r="W323">
        <v>95.247091412742407</v>
      </c>
      <c r="X323">
        <v>154.33255099330501</v>
      </c>
      <c r="Y323" s="20" t="s">
        <v>102</v>
      </c>
      <c r="Z323">
        <v>346.5</v>
      </c>
      <c r="AA323">
        <v>105</v>
      </c>
      <c r="AB323">
        <v>451.5</v>
      </c>
      <c r="AC323">
        <v>47.647796381364799</v>
      </c>
      <c r="AD323">
        <v>2.30488611432322</v>
      </c>
      <c r="AE323">
        <v>2.30488611432322</v>
      </c>
      <c r="AF323">
        <v>19.150877536326899</v>
      </c>
      <c r="AG323">
        <v>21.203659339136799</v>
      </c>
      <c r="AH323">
        <v>10.669131797317601</v>
      </c>
      <c r="AI323">
        <v>11.995848045732499</v>
      </c>
      <c r="AJ323">
        <v>5.8820377282288803</v>
      </c>
      <c r="AK323">
        <v>6.7973816904872404</v>
      </c>
      <c r="AL323" s="20">
        <v>3.84339688947161</v>
      </c>
      <c r="AM323" s="20">
        <v>7.8378755042422101</v>
      </c>
      <c r="AN323" s="20" t="s">
        <v>373</v>
      </c>
    </row>
    <row r="324" spans="1:40" x14ac:dyDescent="0.25">
      <c r="A324" s="20">
        <v>322</v>
      </c>
      <c r="B324" s="20" t="s">
        <v>391</v>
      </c>
      <c r="C324" s="20" t="s">
        <v>61</v>
      </c>
      <c r="D324">
        <v>1</v>
      </c>
      <c r="E324" s="20" t="s">
        <v>372</v>
      </c>
      <c r="F324" s="20">
        <v>-15.776</v>
      </c>
      <c r="G324" s="20">
        <v>-74.744</v>
      </c>
      <c r="H324" s="20">
        <v>36.299999999999997</v>
      </c>
      <c r="I324" s="20">
        <v>7.09</v>
      </c>
      <c r="J324" s="20">
        <v>313</v>
      </c>
      <c r="K324" s="20">
        <v>35</v>
      </c>
      <c r="L324" s="20">
        <v>92</v>
      </c>
      <c r="M324" s="20">
        <v>9.0500000000000007</v>
      </c>
      <c r="N324" s="20">
        <v>19</v>
      </c>
      <c r="O324" s="20">
        <v>17</v>
      </c>
      <c r="P324" s="20">
        <v>7</v>
      </c>
      <c r="Q324" s="20">
        <v>5</v>
      </c>
      <c r="R324">
        <v>133</v>
      </c>
      <c r="S324">
        <v>85</v>
      </c>
      <c r="T324">
        <v>8.3307430340557307</v>
      </c>
      <c r="U324">
        <v>56</v>
      </c>
      <c r="V324">
        <v>50</v>
      </c>
      <c r="W324">
        <v>33.635375000000003</v>
      </c>
      <c r="X324">
        <v>52.823198942018202</v>
      </c>
      <c r="Y324" s="20" t="s">
        <v>102</v>
      </c>
      <c r="Z324">
        <v>385</v>
      </c>
      <c r="AA324">
        <v>175</v>
      </c>
      <c r="AB324">
        <v>560</v>
      </c>
      <c r="AC324">
        <v>19.0394327646598</v>
      </c>
      <c r="AD324">
        <v>4.3011626335213098</v>
      </c>
      <c r="AE324">
        <v>8.2764726786234206</v>
      </c>
      <c r="AF324">
        <v>27.101327619336001</v>
      </c>
      <c r="AG324">
        <v>16.0799676545283</v>
      </c>
      <c r="AH324">
        <v>10.773409829564301</v>
      </c>
      <c r="AI324">
        <v>6.9594503012995199</v>
      </c>
      <c r="AJ324">
        <v>12.7580029960274</v>
      </c>
      <c r="AK324">
        <v>8.9894006126522203</v>
      </c>
      <c r="AL324" s="20">
        <v>12.9934331433228</v>
      </c>
      <c r="AM324" s="20">
        <v>12.6195757852632</v>
      </c>
      <c r="AN324" s="20" t="s">
        <v>373</v>
      </c>
    </row>
    <row r="325" spans="1:40" x14ac:dyDescent="0.25">
      <c r="A325" s="20">
        <v>323</v>
      </c>
      <c r="B325" s="20" t="s">
        <v>392</v>
      </c>
      <c r="C325" s="20" t="s">
        <v>63</v>
      </c>
      <c r="D325">
        <v>0</v>
      </c>
      <c r="E325" s="20" t="s">
        <v>372</v>
      </c>
      <c r="F325" s="20">
        <v>56.045999999999999</v>
      </c>
      <c r="G325" s="20">
        <v>-149.07300000000001</v>
      </c>
      <c r="H325" s="20">
        <v>25</v>
      </c>
      <c r="I325" s="20">
        <v>7.88</v>
      </c>
      <c r="J325" s="20">
        <v>258</v>
      </c>
      <c r="K325" s="20">
        <v>69</v>
      </c>
      <c r="L325" s="20">
        <v>4</v>
      </c>
      <c r="M325" s="20">
        <v>2.73</v>
      </c>
      <c r="N325" s="20">
        <v>45</v>
      </c>
      <c r="O325" s="20">
        <v>8</v>
      </c>
      <c r="P325" s="20">
        <v>7</v>
      </c>
      <c r="Q325" s="20">
        <v>5.3</v>
      </c>
      <c r="R325">
        <v>315</v>
      </c>
      <c r="S325">
        <v>42.4</v>
      </c>
      <c r="T325">
        <v>150.87219444444401</v>
      </c>
      <c r="U325">
        <v>210</v>
      </c>
      <c r="V325">
        <v>26.5</v>
      </c>
      <c r="W325">
        <v>362.09326666666698</v>
      </c>
      <c r="X325">
        <v>449.679569627094</v>
      </c>
      <c r="Y325" s="20" t="s">
        <v>102</v>
      </c>
      <c r="Z325">
        <v>1038.8</v>
      </c>
      <c r="AA325">
        <v>296.8</v>
      </c>
      <c r="AB325">
        <v>1335.6</v>
      </c>
      <c r="AC325">
        <v>111.293182630384</v>
      </c>
      <c r="AD325">
        <v>13.1701366735505</v>
      </c>
      <c r="AE325">
        <v>21.9502277892508</v>
      </c>
      <c r="AF325">
        <v>57.034915486582499</v>
      </c>
      <c r="AG325">
        <v>14.1345823486166</v>
      </c>
      <c r="AH325">
        <v>26.0931442660344</v>
      </c>
      <c r="AI325">
        <v>9.6897884692305993</v>
      </c>
      <c r="AJ325">
        <v>14.356812820304199</v>
      </c>
      <c r="AK325">
        <v>9.5388573840208402</v>
      </c>
      <c r="AL325" s="20">
        <v>35.277772161093203</v>
      </c>
      <c r="AM325" s="20">
        <v>19.515547005656799</v>
      </c>
      <c r="AN325" s="20" t="s">
        <v>373</v>
      </c>
    </row>
    <row r="326" spans="1:40" x14ac:dyDescent="0.25">
      <c r="A326" s="20">
        <v>324</v>
      </c>
      <c r="B326" s="20" t="s">
        <v>393</v>
      </c>
      <c r="C326" s="20" t="s">
        <v>61</v>
      </c>
      <c r="D326">
        <v>1</v>
      </c>
      <c r="E326" s="20" t="s">
        <v>372</v>
      </c>
      <c r="F326" s="20">
        <v>16.45</v>
      </c>
      <c r="G326" s="20">
        <v>-97.85</v>
      </c>
      <c r="H326" s="20">
        <v>25</v>
      </c>
      <c r="I326" s="20">
        <v>7.16</v>
      </c>
      <c r="J326" s="20">
        <v>297</v>
      </c>
      <c r="K326" s="20">
        <v>12</v>
      </c>
      <c r="L326" s="20">
        <v>91</v>
      </c>
      <c r="M326" s="20">
        <v>19.690000000000001</v>
      </c>
      <c r="N326" s="20">
        <v>21</v>
      </c>
      <c r="O326" s="20">
        <v>17</v>
      </c>
      <c r="P326" s="20">
        <v>3</v>
      </c>
      <c r="Q326" s="20">
        <v>3</v>
      </c>
      <c r="R326">
        <v>63</v>
      </c>
      <c r="S326">
        <v>51</v>
      </c>
      <c r="T326">
        <v>45.398291316526603</v>
      </c>
      <c r="U326">
        <v>33</v>
      </c>
      <c r="V326">
        <v>33</v>
      </c>
      <c r="W326">
        <v>133.943719008264</v>
      </c>
      <c r="X326">
        <v>189.42088077728101</v>
      </c>
      <c r="Y326" s="20" t="s">
        <v>102</v>
      </c>
      <c r="Z326">
        <v>108</v>
      </c>
      <c r="AA326">
        <v>36</v>
      </c>
      <c r="AB326">
        <v>144</v>
      </c>
      <c r="AC326">
        <v>12.903487900563899</v>
      </c>
      <c r="AD326">
        <v>2.1213203435596402</v>
      </c>
      <c r="AE326">
        <v>2.1213203435596402</v>
      </c>
      <c r="AF326">
        <v>18.696439091615499</v>
      </c>
      <c r="AG326">
        <v>15.1129101341756</v>
      </c>
      <c r="AH326">
        <v>6.2955666541552997</v>
      </c>
      <c r="AI326">
        <v>5.5923769470244498</v>
      </c>
      <c r="AJ326">
        <v>6.0468372702479201</v>
      </c>
      <c r="AK326">
        <v>5.7108682895254601</v>
      </c>
      <c r="AL326" s="20">
        <v>0.93523259139104098</v>
      </c>
      <c r="AM326" s="20">
        <v>1.1539866637011</v>
      </c>
      <c r="AN326" s="20" t="s">
        <v>373</v>
      </c>
    </row>
    <row r="327" spans="1:40" x14ac:dyDescent="0.25">
      <c r="A327" s="20">
        <v>325</v>
      </c>
      <c r="B327" s="20" t="s">
        <v>394</v>
      </c>
      <c r="C327" s="20" t="s">
        <v>61</v>
      </c>
      <c r="D327">
        <v>1</v>
      </c>
      <c r="E327" s="20" t="s">
        <v>372</v>
      </c>
      <c r="F327" s="20">
        <v>-6.0350000000000001</v>
      </c>
      <c r="G327" s="20">
        <v>142.90799999999999</v>
      </c>
      <c r="H327" s="20">
        <v>15</v>
      </c>
      <c r="I327" s="20">
        <v>7.49</v>
      </c>
      <c r="J327" s="20">
        <v>308</v>
      </c>
      <c r="K327" s="20">
        <v>33</v>
      </c>
      <c r="L327" s="20">
        <v>110</v>
      </c>
      <c r="M327" s="20">
        <v>0.28999999999999998</v>
      </c>
      <c r="N327" s="20">
        <v>35</v>
      </c>
      <c r="O327" s="20">
        <v>20</v>
      </c>
      <c r="P327" s="20">
        <v>6</v>
      </c>
      <c r="Q327" s="20">
        <v>3.6</v>
      </c>
      <c r="R327">
        <v>210</v>
      </c>
      <c r="S327">
        <v>72</v>
      </c>
      <c r="T327">
        <v>39.877014285714303</v>
      </c>
      <c r="U327">
        <v>186</v>
      </c>
      <c r="V327">
        <v>68.400000000000006</v>
      </c>
      <c r="W327">
        <v>47.392037351443101</v>
      </c>
      <c r="X327">
        <v>43.499661653248602</v>
      </c>
      <c r="Y327" s="20" t="s">
        <v>102</v>
      </c>
      <c r="Z327">
        <v>2397.6</v>
      </c>
      <c r="AA327">
        <v>302.39999999999998</v>
      </c>
      <c r="AB327">
        <v>2700</v>
      </c>
      <c r="AC327">
        <v>40.024992192379003</v>
      </c>
      <c r="AD327">
        <v>3.4985711369071799</v>
      </c>
      <c r="AE327">
        <v>3.4985711369071799</v>
      </c>
      <c r="AF327">
        <v>48.214109969542498</v>
      </c>
      <c r="AG327">
        <v>35.701482431538203</v>
      </c>
      <c r="AH327">
        <v>26.9061252781955</v>
      </c>
      <c r="AI327">
        <v>18.924528971774802</v>
      </c>
      <c r="AJ327">
        <v>12.220599290382699</v>
      </c>
      <c r="AK327">
        <v>7.6008777615127396</v>
      </c>
      <c r="AL327" s="20">
        <v>69.225233759735303</v>
      </c>
      <c r="AM327" s="20">
        <v>61.408170465582202</v>
      </c>
      <c r="AN327" s="20" t="s">
        <v>373</v>
      </c>
    </row>
    <row r="328" spans="1:40" x14ac:dyDescent="0.25">
      <c r="A328" s="20">
        <v>326</v>
      </c>
      <c r="B328" s="20" t="s">
        <v>395</v>
      </c>
      <c r="C328" s="20" t="s">
        <v>56</v>
      </c>
      <c r="D328">
        <v>1</v>
      </c>
      <c r="E328" s="20" t="s">
        <v>372</v>
      </c>
      <c r="F328" s="20">
        <v>55.106000000000002</v>
      </c>
      <c r="G328" s="20">
        <v>164.7089</v>
      </c>
      <c r="H328" s="20">
        <v>12</v>
      </c>
      <c r="I328" s="20">
        <v>7.37</v>
      </c>
      <c r="J328" s="20">
        <v>338</v>
      </c>
      <c r="K328" s="20">
        <v>52</v>
      </c>
      <c r="L328" s="20">
        <v>205</v>
      </c>
      <c r="M328" s="20">
        <v>4.2699999999999996</v>
      </c>
      <c r="N328" s="20">
        <v>35</v>
      </c>
      <c r="O328" s="20">
        <v>12</v>
      </c>
      <c r="P328" s="20">
        <v>7</v>
      </c>
      <c r="Q328" s="20">
        <v>2.8</v>
      </c>
      <c r="R328">
        <v>245</v>
      </c>
      <c r="S328">
        <v>33.6</v>
      </c>
      <c r="T328">
        <v>51.625023809523803</v>
      </c>
      <c r="U328">
        <v>161</v>
      </c>
      <c r="V328">
        <v>30.8</v>
      </c>
      <c r="W328">
        <v>85.701620553359703</v>
      </c>
      <c r="X328">
        <v>122.53755472541</v>
      </c>
      <c r="Y328" s="20" t="s">
        <v>102</v>
      </c>
      <c r="Z328">
        <v>607.6</v>
      </c>
      <c r="AA328">
        <v>333.2</v>
      </c>
      <c r="AB328">
        <v>940.8</v>
      </c>
      <c r="AC328">
        <v>77.257297389955298</v>
      </c>
      <c r="AD328">
        <v>3.76961536499415</v>
      </c>
      <c r="AE328">
        <v>3.76961536499415</v>
      </c>
      <c r="AF328">
        <v>38.894071788974699</v>
      </c>
      <c r="AG328">
        <v>9.3394242071346394</v>
      </c>
      <c r="AH328">
        <v>25.455471247818199</v>
      </c>
      <c r="AI328">
        <v>6.9961166831186601</v>
      </c>
      <c r="AJ328">
        <v>13.147225198096701</v>
      </c>
      <c r="AK328">
        <v>5.0784126503112104</v>
      </c>
      <c r="AL328" s="20">
        <v>7.9710061152905904</v>
      </c>
      <c r="AM328" s="20">
        <v>4.03504306916295</v>
      </c>
      <c r="AN328" s="20" t="s">
        <v>373</v>
      </c>
    </row>
    <row r="329" spans="1:40" x14ac:dyDescent="0.25">
      <c r="A329" s="20">
        <v>327</v>
      </c>
      <c r="B329" s="20" t="s">
        <v>396</v>
      </c>
      <c r="C329" s="20" t="s">
        <v>56</v>
      </c>
      <c r="D329">
        <v>0</v>
      </c>
      <c r="E329" s="20" t="s">
        <v>372</v>
      </c>
      <c r="F329" s="20">
        <v>5.97</v>
      </c>
      <c r="G329" s="20">
        <v>126.83</v>
      </c>
      <c r="H329" s="20">
        <v>60</v>
      </c>
      <c r="I329" s="20">
        <v>6.95</v>
      </c>
      <c r="J329" s="20">
        <v>35</v>
      </c>
      <c r="K329" s="20">
        <v>47</v>
      </c>
      <c r="L329" s="20">
        <v>136</v>
      </c>
      <c r="M329" s="20">
        <v>40.799999999999997</v>
      </c>
      <c r="N329" s="20">
        <v>14</v>
      </c>
      <c r="O329" s="20">
        <v>14</v>
      </c>
      <c r="P329" s="20">
        <v>5</v>
      </c>
      <c r="Q329" s="20">
        <v>3.5</v>
      </c>
      <c r="R329">
        <v>70</v>
      </c>
      <c r="S329">
        <v>49</v>
      </c>
      <c r="T329">
        <v>15.184693877551</v>
      </c>
      <c r="U329">
        <v>45</v>
      </c>
      <c r="V329">
        <v>35</v>
      </c>
      <c r="W329">
        <v>33.0688888888889</v>
      </c>
      <c r="X329">
        <v>34.629901801075498</v>
      </c>
      <c r="Y329" s="20" t="s">
        <v>102</v>
      </c>
      <c r="Z329">
        <v>420</v>
      </c>
      <c r="AA329">
        <v>227.5</v>
      </c>
      <c r="AB329">
        <v>647.5</v>
      </c>
      <c r="AC329">
        <v>13.557746862956201</v>
      </c>
      <c r="AD329">
        <v>3.05163890393343</v>
      </c>
      <c r="AE329">
        <v>3.05163890393343</v>
      </c>
      <c r="AF329">
        <v>30.810633340586602</v>
      </c>
      <c r="AG329">
        <v>26.6156819166895</v>
      </c>
      <c r="AH329">
        <v>10.5267038976629</v>
      </c>
      <c r="AI329">
        <v>8.3701425797798592</v>
      </c>
      <c r="AJ329">
        <v>9.8912188234901706</v>
      </c>
      <c r="AK329">
        <v>7.2070190741240499</v>
      </c>
      <c r="AL329" s="20">
        <v>7.7521898461015502</v>
      </c>
      <c r="AM329" s="20">
        <v>6.0371654607108498</v>
      </c>
      <c r="AN329" s="20" t="s">
        <v>373</v>
      </c>
    </row>
    <row r="330" spans="1:40" x14ac:dyDescent="0.25">
      <c r="A330" s="20">
        <v>328</v>
      </c>
      <c r="B330" s="20" t="s">
        <v>397</v>
      </c>
      <c r="C330" s="20" t="s">
        <v>56</v>
      </c>
      <c r="D330">
        <v>1</v>
      </c>
      <c r="E330" s="20" t="s">
        <v>372</v>
      </c>
      <c r="F330" s="20">
        <v>-2.1989999999999998</v>
      </c>
      <c r="G330" s="20">
        <v>-77.023099999999999</v>
      </c>
      <c r="H330" s="20">
        <v>132</v>
      </c>
      <c r="I330" s="20">
        <v>7.49</v>
      </c>
      <c r="J330" s="20">
        <v>307</v>
      </c>
      <c r="K330" s="20">
        <v>70</v>
      </c>
      <c r="L330" s="20">
        <v>255</v>
      </c>
      <c r="M330" s="20">
        <v>96.76</v>
      </c>
      <c r="N330" s="20">
        <v>15</v>
      </c>
      <c r="O330" s="20">
        <v>15</v>
      </c>
      <c r="P330" s="20">
        <v>5</v>
      </c>
      <c r="Q330" s="20">
        <v>5</v>
      </c>
      <c r="R330">
        <v>75</v>
      </c>
      <c r="S330">
        <v>75</v>
      </c>
      <c r="T330">
        <v>58.596888888888898</v>
      </c>
      <c r="U330">
        <v>45</v>
      </c>
      <c r="V330">
        <v>40</v>
      </c>
      <c r="W330">
        <v>183.115277777778</v>
      </c>
      <c r="X330">
        <v>241.58491967852001</v>
      </c>
      <c r="Y330" s="20" t="s">
        <v>102</v>
      </c>
      <c r="Z330">
        <v>225</v>
      </c>
      <c r="AA330">
        <v>225</v>
      </c>
      <c r="AB330">
        <v>450</v>
      </c>
      <c r="AC330">
        <v>7.9056941504209499</v>
      </c>
      <c r="AD330">
        <v>3.53553390593274</v>
      </c>
      <c r="AE330">
        <v>3.53553390593274</v>
      </c>
      <c r="AF330">
        <v>40.308083202795999</v>
      </c>
      <c r="AG330">
        <v>27.133452716917301</v>
      </c>
      <c r="AH330">
        <v>12.4778106660539</v>
      </c>
      <c r="AI330">
        <v>9.8310496523961604</v>
      </c>
      <c r="AJ330">
        <v>10.4593278533637</v>
      </c>
      <c r="AK330">
        <v>9.8557552809106603</v>
      </c>
      <c r="AL330" s="20">
        <v>9.7911630611485592</v>
      </c>
      <c r="AM330" s="20">
        <v>9.0814393820583295</v>
      </c>
      <c r="AN330" s="20" t="s">
        <v>373</v>
      </c>
    </row>
    <row r="331" spans="1:40" x14ac:dyDescent="0.25">
      <c r="A331" s="20">
        <v>329</v>
      </c>
      <c r="B331" s="20" t="s">
        <v>398</v>
      </c>
      <c r="C331" s="20" t="s">
        <v>61</v>
      </c>
      <c r="D331">
        <v>1</v>
      </c>
      <c r="E331" s="20" t="s">
        <v>372</v>
      </c>
      <c r="F331" s="20">
        <v>55.325000000000003</v>
      </c>
      <c r="G331" s="20">
        <v>-157.84100000000001</v>
      </c>
      <c r="H331" s="20">
        <v>32.200000000000003</v>
      </c>
      <c r="I331" s="20">
        <v>8.2726279945755294</v>
      </c>
      <c r="J331" s="20">
        <v>243</v>
      </c>
      <c r="K331" s="20">
        <v>14</v>
      </c>
      <c r="L331" s="20">
        <v>93</v>
      </c>
      <c r="M331" s="20">
        <v>7.13689161587443</v>
      </c>
      <c r="N331" s="20">
        <v>22</v>
      </c>
      <c r="O331" s="20">
        <v>18</v>
      </c>
      <c r="P331" s="20">
        <v>14</v>
      </c>
      <c r="Q331" s="20">
        <v>14</v>
      </c>
      <c r="R331">
        <v>308</v>
      </c>
      <c r="S331">
        <v>252</v>
      </c>
      <c r="T331">
        <v>59.864747474747503</v>
      </c>
      <c r="U331">
        <v>252</v>
      </c>
      <c r="V331">
        <v>196</v>
      </c>
      <c r="W331">
        <v>94.073174603174607</v>
      </c>
      <c r="X331">
        <v>94.103252238240401</v>
      </c>
      <c r="Y331" s="20" t="s">
        <v>102</v>
      </c>
      <c r="Z331">
        <v>9408</v>
      </c>
      <c r="AA331">
        <v>7448</v>
      </c>
      <c r="AB331">
        <v>16856</v>
      </c>
      <c r="AC331">
        <v>79.812279756939702</v>
      </c>
      <c r="AD331">
        <v>22.135943621178701</v>
      </c>
      <c r="AE331">
        <v>9.8994949366116707</v>
      </c>
      <c r="AF331">
        <v>157.859430613721</v>
      </c>
      <c r="AG331">
        <v>159.23125958176701</v>
      </c>
      <c r="AH331">
        <v>51.212413314596503</v>
      </c>
      <c r="AI331">
        <v>51.621277007207802</v>
      </c>
      <c r="AJ331">
        <v>30.407756087963499</v>
      </c>
      <c r="AK331">
        <v>30.249188511279399</v>
      </c>
      <c r="AL331" s="20">
        <v>38.9585104669057</v>
      </c>
      <c r="AM331" s="20">
        <v>39.9524842807052</v>
      </c>
      <c r="AN331" s="20" t="s">
        <v>373</v>
      </c>
    </row>
    <row r="332" spans="1:40" x14ac:dyDescent="0.25">
      <c r="A332" s="20">
        <v>330</v>
      </c>
      <c r="B332" s="20" t="s">
        <v>399</v>
      </c>
      <c r="C332" s="20" t="s">
        <v>80</v>
      </c>
      <c r="D332">
        <v>0</v>
      </c>
      <c r="E332" s="20" t="s">
        <v>372</v>
      </c>
      <c r="F332" s="20">
        <v>38.508000000000003</v>
      </c>
      <c r="G332" s="20">
        <v>-119.5</v>
      </c>
      <c r="H332" s="20">
        <v>7.5</v>
      </c>
      <c r="I332" s="20">
        <v>6.0334665089590702</v>
      </c>
      <c r="J332" s="20">
        <v>358</v>
      </c>
      <c r="K332" s="20">
        <v>49</v>
      </c>
      <c r="L332" s="20">
        <v>-87</v>
      </c>
      <c r="M332" s="20">
        <v>1.4623233582178199</v>
      </c>
      <c r="N332" s="20">
        <v>20</v>
      </c>
      <c r="O332" s="20">
        <v>15</v>
      </c>
      <c r="P332" s="20">
        <v>2</v>
      </c>
      <c r="Q332" s="20">
        <v>2</v>
      </c>
      <c r="R332">
        <v>40</v>
      </c>
      <c r="S332">
        <v>30</v>
      </c>
      <c r="T332">
        <v>2.7411666666666701</v>
      </c>
      <c r="U332">
        <v>24</v>
      </c>
      <c r="V332">
        <v>16</v>
      </c>
      <c r="W332">
        <v>8.5661458333333407</v>
      </c>
      <c r="X332">
        <v>12.3823813589033</v>
      </c>
      <c r="Y332" s="20" t="s">
        <v>102</v>
      </c>
      <c r="Z332">
        <v>32</v>
      </c>
      <c r="AA332">
        <v>20</v>
      </c>
      <c r="AB332">
        <v>52</v>
      </c>
      <c r="AC332">
        <v>1.4142135623731</v>
      </c>
      <c r="AD332">
        <v>1.4142135623731</v>
      </c>
      <c r="AE332">
        <v>1.4142135623731</v>
      </c>
      <c r="AF332">
        <v>12.603419102364599</v>
      </c>
      <c r="AG332">
        <v>5.4324567779327904</v>
      </c>
      <c r="AH332">
        <v>4.2527250807154502</v>
      </c>
      <c r="AI332">
        <v>2.6220548822902701</v>
      </c>
      <c r="AJ332">
        <v>4.0277093129142596</v>
      </c>
      <c r="AK332">
        <v>3.5130286493829002</v>
      </c>
      <c r="AL332" s="20">
        <v>2.4289276996238498</v>
      </c>
      <c r="AM332" s="20">
        <v>2.25013027400637</v>
      </c>
      <c r="AN332" s="20" t="s">
        <v>373</v>
      </c>
    </row>
    <row r="333" spans="1:40" x14ac:dyDescent="0.25">
      <c r="A333" s="20">
        <v>331</v>
      </c>
      <c r="B333" s="20" t="s">
        <v>400</v>
      </c>
      <c r="C333" s="20" t="s">
        <v>63</v>
      </c>
      <c r="D333">
        <v>0</v>
      </c>
      <c r="E333" s="20" t="s">
        <v>372</v>
      </c>
      <c r="F333" s="20">
        <v>34.585999999999999</v>
      </c>
      <c r="G333" s="20">
        <v>98.254999999999995</v>
      </c>
      <c r="H333" s="20">
        <v>10</v>
      </c>
      <c r="I333" s="20">
        <v>7.3824293002100703</v>
      </c>
      <c r="J333" s="20">
        <v>106</v>
      </c>
      <c r="K333" s="20">
        <v>76</v>
      </c>
      <c r="L333" s="20">
        <v>-9</v>
      </c>
      <c r="M333" s="20">
        <v>3.2079299160680299</v>
      </c>
      <c r="N333" s="20">
        <v>52</v>
      </c>
      <c r="O333" s="20">
        <v>9</v>
      </c>
      <c r="P333" s="20">
        <v>3.5</v>
      </c>
      <c r="Q333" s="20">
        <v>3.5</v>
      </c>
      <c r="R333">
        <v>182</v>
      </c>
      <c r="S333">
        <v>31.5</v>
      </c>
      <c r="T333">
        <v>74.633141025640995</v>
      </c>
      <c r="U333">
        <v>161</v>
      </c>
      <c r="V333">
        <v>31.5</v>
      </c>
      <c r="W333">
        <v>84.367898550724703</v>
      </c>
      <c r="X333">
        <v>72.836615554798399</v>
      </c>
      <c r="Y333" s="20" t="s">
        <v>102</v>
      </c>
      <c r="Z333">
        <v>1482.25</v>
      </c>
      <c r="AA333">
        <v>330.75</v>
      </c>
      <c r="AB333">
        <v>1813</v>
      </c>
      <c r="AC333">
        <v>78.144897466181405</v>
      </c>
      <c r="AD333">
        <v>2.4748737341529199</v>
      </c>
      <c r="AE333">
        <v>5.5339859052946601</v>
      </c>
      <c r="AF333">
        <v>67.739193472689195</v>
      </c>
      <c r="AG333">
        <v>31.499979610462201</v>
      </c>
      <c r="AH333">
        <v>22.458473127968499</v>
      </c>
      <c r="AI333">
        <v>15.4447413771362</v>
      </c>
      <c r="AJ333">
        <v>7.9421502467740401</v>
      </c>
      <c r="AK333">
        <v>7.6254252046437596</v>
      </c>
      <c r="AL333" s="20">
        <v>14.154299513575401</v>
      </c>
      <c r="AM333" s="20">
        <v>4.49283638250939</v>
      </c>
      <c r="AN333" s="20" t="s">
        <v>373</v>
      </c>
    </row>
    <row r="334" spans="1:40" x14ac:dyDescent="0.25">
      <c r="A334" s="20">
        <v>332</v>
      </c>
      <c r="B334" s="20" t="s">
        <v>401</v>
      </c>
      <c r="C334" s="20" t="s">
        <v>56</v>
      </c>
      <c r="D334">
        <v>1</v>
      </c>
      <c r="E334" s="20" t="s">
        <v>372</v>
      </c>
      <c r="F334" s="20">
        <v>18.408000000000001</v>
      </c>
      <c r="G334" s="20">
        <v>-73.474999999999994</v>
      </c>
      <c r="H334" s="20">
        <v>10</v>
      </c>
      <c r="I334" s="20">
        <v>7.21379950156724</v>
      </c>
      <c r="J334" s="20">
        <v>266</v>
      </c>
      <c r="K334" s="20">
        <v>51</v>
      </c>
      <c r="L334" s="20">
        <v>33</v>
      </c>
      <c r="M334" s="20">
        <v>7.66856211562909</v>
      </c>
      <c r="N334" s="20">
        <v>25</v>
      </c>
      <c r="O334" s="20">
        <v>13</v>
      </c>
      <c r="P334" s="20">
        <v>3</v>
      </c>
      <c r="Q334" s="20">
        <v>3</v>
      </c>
      <c r="R334">
        <v>75</v>
      </c>
      <c r="S334">
        <v>39</v>
      </c>
      <c r="T334">
        <v>56.145415384615397</v>
      </c>
      <c r="U334">
        <v>57</v>
      </c>
      <c r="V334">
        <v>24</v>
      </c>
      <c r="W334">
        <v>120.04776315789501</v>
      </c>
      <c r="X334">
        <v>93.406491998003403</v>
      </c>
      <c r="Y334" s="20" t="s">
        <v>102</v>
      </c>
      <c r="Z334">
        <v>486</v>
      </c>
      <c r="AA334">
        <v>153</v>
      </c>
      <c r="AB334">
        <v>639</v>
      </c>
      <c r="AC334">
        <v>13.583077707206099</v>
      </c>
      <c r="AD334">
        <v>2.1213203435596402</v>
      </c>
      <c r="AE334">
        <v>2.1213203435596402</v>
      </c>
      <c r="AF334">
        <v>54.253390183840601</v>
      </c>
      <c r="AG334">
        <v>19.9869081027019</v>
      </c>
      <c r="AH334">
        <v>11.7878843114211</v>
      </c>
      <c r="AI334">
        <v>7.7461597751189997</v>
      </c>
      <c r="AJ334">
        <v>6.8461297126601499</v>
      </c>
      <c r="AK334">
        <v>6.3533027069986598</v>
      </c>
      <c r="AL334" s="20">
        <v>4.8789001055565802</v>
      </c>
      <c r="AM334" s="20">
        <v>16.838495595806702</v>
      </c>
      <c r="AN334" s="20" t="s">
        <v>373</v>
      </c>
    </row>
    <row r="335" spans="1:40" x14ac:dyDescent="0.25">
      <c r="A335" s="20">
        <v>333</v>
      </c>
      <c r="B335" s="20" t="s">
        <v>402</v>
      </c>
      <c r="C335" s="20" t="s">
        <v>61</v>
      </c>
      <c r="D335">
        <v>1</v>
      </c>
      <c r="E335" s="20" t="s">
        <v>372</v>
      </c>
      <c r="F335" s="20">
        <v>16.95</v>
      </c>
      <c r="G335" s="20">
        <v>-99.787999999999997</v>
      </c>
      <c r="H335" s="20">
        <v>12.6</v>
      </c>
      <c r="I335" s="20">
        <v>6.9947046470979002</v>
      </c>
      <c r="J335" s="20">
        <v>274.68502670791401</v>
      </c>
      <c r="K335" s="20">
        <v>21.017985826664201</v>
      </c>
      <c r="L335" s="20">
        <v>75.766611951814198</v>
      </c>
      <c r="M335" s="20">
        <v>3.2314610113947602</v>
      </c>
      <c r="N335" s="20">
        <v>15</v>
      </c>
      <c r="O335" s="20">
        <v>15</v>
      </c>
      <c r="P335" s="20">
        <v>4.3174999999999999</v>
      </c>
      <c r="Q335" s="20">
        <v>3.5619375</v>
      </c>
      <c r="R335">
        <v>64.762500000000003</v>
      </c>
      <c r="S335">
        <v>53.429062500000001</v>
      </c>
      <c r="T335">
        <v>20.9838666666667</v>
      </c>
      <c r="U335">
        <v>38.857500000000002</v>
      </c>
      <c r="V335">
        <v>35.619374999999998</v>
      </c>
      <c r="W335">
        <v>52.459666666666699</v>
      </c>
      <c r="X335">
        <v>42.104193665065701</v>
      </c>
      <c r="Y335" s="20" t="s">
        <v>102</v>
      </c>
      <c r="Z335">
        <v>399.84529406249999</v>
      </c>
      <c r="AA335">
        <v>230.67997734375001</v>
      </c>
      <c r="AB335">
        <v>630.52527140625</v>
      </c>
      <c r="AC335">
        <v>2.7985802205719499</v>
      </c>
      <c r="AD335">
        <v>2.7985802205719499</v>
      </c>
      <c r="AE335">
        <v>2.7985802205719499</v>
      </c>
      <c r="AF335">
        <v>44.750755001381997</v>
      </c>
      <c r="AG335">
        <v>53.429055234731003</v>
      </c>
      <c r="AH335">
        <v>12.697493489240699</v>
      </c>
      <c r="AI335">
        <v>13.601352489696399</v>
      </c>
      <c r="AJ335">
        <v>9.3707559951552799</v>
      </c>
      <c r="AK335">
        <v>8.2004269297311208</v>
      </c>
      <c r="AL335" s="20">
        <v>4.8842518177405196</v>
      </c>
      <c r="AM335" s="20">
        <v>4.1327687591494398</v>
      </c>
      <c r="AN335" s="20" t="s">
        <v>373</v>
      </c>
    </row>
    <row r="336" spans="1:40" x14ac:dyDescent="0.25">
      <c r="A336" s="20">
        <v>334</v>
      </c>
      <c r="B336" s="20" t="s">
        <v>403</v>
      </c>
      <c r="C336" s="20" t="s">
        <v>56</v>
      </c>
      <c r="D336">
        <v>1</v>
      </c>
      <c r="E336" s="20" t="s">
        <v>372</v>
      </c>
      <c r="F336" s="20">
        <v>6.4550000000000001</v>
      </c>
      <c r="G336" s="20">
        <v>126.742</v>
      </c>
      <c r="H336" s="20">
        <v>65.599999999999994</v>
      </c>
      <c r="I336" s="20">
        <v>7.11104826106562</v>
      </c>
      <c r="J336" s="20">
        <v>156</v>
      </c>
      <c r="K336" s="20">
        <v>54</v>
      </c>
      <c r="L336" s="20">
        <v>49</v>
      </c>
      <c r="M336" s="20">
        <v>22.452426966669499</v>
      </c>
      <c r="N336" s="20">
        <v>25</v>
      </c>
      <c r="O336" s="20">
        <v>18</v>
      </c>
      <c r="P336" s="20">
        <v>4</v>
      </c>
      <c r="Q336" s="20">
        <v>4</v>
      </c>
      <c r="R336">
        <v>100</v>
      </c>
      <c r="S336">
        <v>72</v>
      </c>
      <c r="T336">
        <v>10.831911111111101</v>
      </c>
      <c r="U336">
        <v>56</v>
      </c>
      <c r="V336">
        <v>56</v>
      </c>
      <c r="W336">
        <v>24.869183673469401</v>
      </c>
      <c r="X336">
        <v>20.070839226367699</v>
      </c>
      <c r="Y336" s="20" t="s">
        <v>102</v>
      </c>
      <c r="Z336">
        <v>736</v>
      </c>
      <c r="AA336">
        <v>400</v>
      </c>
      <c r="AB336">
        <v>1136</v>
      </c>
      <c r="AC336">
        <v>27.856776554368199</v>
      </c>
      <c r="AD336">
        <v>2.8284271247461898</v>
      </c>
      <c r="AE336">
        <v>10.198039027185599</v>
      </c>
      <c r="AF336">
        <v>58.309184612403698</v>
      </c>
      <c r="AG336">
        <v>60.397528534689101</v>
      </c>
      <c r="AH336">
        <v>14.558461292699301</v>
      </c>
      <c r="AI336">
        <v>14.740063631056</v>
      </c>
      <c r="AJ336">
        <v>9.0781297824707607</v>
      </c>
      <c r="AK336">
        <v>8.9751966340454103</v>
      </c>
      <c r="AL336" s="20">
        <v>22.483047531862798</v>
      </c>
      <c r="AM336" s="20">
        <v>23.3537297922623</v>
      </c>
      <c r="AN336" s="20" t="s">
        <v>373</v>
      </c>
    </row>
    <row r="337" spans="1:40" x14ac:dyDescent="0.25">
      <c r="A337" s="20">
        <v>335</v>
      </c>
      <c r="B337" s="20" t="s">
        <v>404</v>
      </c>
      <c r="C337" s="20" t="s">
        <v>63</v>
      </c>
      <c r="D337">
        <v>0</v>
      </c>
      <c r="E337" s="20" t="s">
        <v>372</v>
      </c>
      <c r="F337" s="20">
        <v>7.42</v>
      </c>
      <c r="G337" s="20">
        <v>-82.79</v>
      </c>
      <c r="H337" s="20">
        <v>18</v>
      </c>
      <c r="I337" s="20">
        <v>6.7550070635645696</v>
      </c>
      <c r="J337" s="20">
        <v>173</v>
      </c>
      <c r="K337" s="20">
        <v>86</v>
      </c>
      <c r="L337" s="20">
        <v>179</v>
      </c>
      <c r="M337" s="20">
        <v>4.8321545365703198</v>
      </c>
      <c r="N337" s="20">
        <v>25</v>
      </c>
      <c r="O337" s="20">
        <v>9</v>
      </c>
      <c r="P337" s="20">
        <v>4.0622999999999996</v>
      </c>
      <c r="Q337" s="20">
        <v>3.3</v>
      </c>
      <c r="R337" s="26">
        <v>101.5575</v>
      </c>
      <c r="S337" s="26">
        <v>29.7</v>
      </c>
      <c r="T337" s="26">
        <v>8.5042666666666697</v>
      </c>
      <c r="U337" s="26">
        <v>60.9345</v>
      </c>
      <c r="V337" s="26">
        <v>29.7</v>
      </c>
      <c r="W337" s="26">
        <v>14.173777777777801</v>
      </c>
      <c r="X337" s="26">
        <v>10.728934001635301</v>
      </c>
      <c r="Y337" s="20" t="s">
        <v>102</v>
      </c>
      <c r="Z337" s="26">
        <v>522.81800999999996</v>
      </c>
      <c r="AA337" s="26">
        <v>227.89502999999999</v>
      </c>
      <c r="AB337" s="26">
        <v>750.71303999999998</v>
      </c>
      <c r="AC337" s="26">
        <v>26.8649192163777</v>
      </c>
      <c r="AD337" s="26">
        <v>2.6168817937575999</v>
      </c>
      <c r="AE337" s="26">
        <v>6.3128941779899899</v>
      </c>
      <c r="AF337" s="26">
        <v>59.391169556508103</v>
      </c>
      <c r="AG337" s="26">
        <v>29.699984052899499</v>
      </c>
      <c r="AH337" s="26">
        <v>14.1238174974103</v>
      </c>
      <c r="AI337" s="26">
        <v>9.4412859152565201</v>
      </c>
      <c r="AJ337" s="26">
        <v>8.9834564341943608</v>
      </c>
      <c r="AK337" s="26">
        <v>7.2047550669881097</v>
      </c>
      <c r="AL337" s="20">
        <v>15.5822572836062</v>
      </c>
      <c r="AM337" s="20">
        <v>10.7208447923893</v>
      </c>
      <c r="AN337" s="20" t="s">
        <v>373</v>
      </c>
    </row>
    <row r="338" spans="1:40" x14ac:dyDescent="0.25">
      <c r="A338" s="20">
        <v>336</v>
      </c>
      <c r="B338" s="20" t="s">
        <v>405</v>
      </c>
      <c r="C338" s="20" t="s">
        <v>80</v>
      </c>
      <c r="D338">
        <v>1</v>
      </c>
      <c r="E338" s="20" t="s">
        <v>372</v>
      </c>
      <c r="F338" s="20">
        <v>-4.49</v>
      </c>
      <c r="G338" s="20">
        <v>-76.846000000000004</v>
      </c>
      <c r="H338" s="20">
        <v>112.5</v>
      </c>
      <c r="I338" s="20">
        <v>7.5109232888761603</v>
      </c>
      <c r="J338" s="20">
        <v>339</v>
      </c>
      <c r="K338" s="20">
        <v>36</v>
      </c>
      <c r="L338" s="20">
        <v>-90</v>
      </c>
      <c r="M338" s="20">
        <v>88.988589908301094</v>
      </c>
      <c r="N338" s="20">
        <v>17</v>
      </c>
      <c r="O338" s="20">
        <v>15</v>
      </c>
      <c r="P338" s="20">
        <v>7.5</v>
      </c>
      <c r="Q338" s="20">
        <v>7.5</v>
      </c>
      <c r="R338" s="26">
        <v>127.5</v>
      </c>
      <c r="S338" s="26">
        <v>112.5</v>
      </c>
      <c r="T338" s="26">
        <v>21.3899215686275</v>
      </c>
      <c r="U338" s="26">
        <v>97.5</v>
      </c>
      <c r="V338" s="26">
        <v>82.5</v>
      </c>
      <c r="W338" s="26">
        <v>38.142867132867103</v>
      </c>
      <c r="X338" s="26">
        <v>42.431140650599403</v>
      </c>
      <c r="Y338" s="20" t="s">
        <v>102</v>
      </c>
      <c r="Z338" s="26">
        <v>1293.75</v>
      </c>
      <c r="AA338" s="26">
        <v>1237.5</v>
      </c>
      <c r="AB338" s="26">
        <v>2531.25</v>
      </c>
      <c r="AC338" s="26">
        <v>53.297514013319599</v>
      </c>
      <c r="AD338" s="26">
        <v>5.3033008588991102</v>
      </c>
      <c r="AE338" s="26">
        <v>5.3033008588991102</v>
      </c>
      <c r="AF338" s="26">
        <v>71.570624134787195</v>
      </c>
      <c r="AG338" s="26">
        <v>105.114359274744</v>
      </c>
      <c r="AH338" s="26">
        <v>21.084775343079301</v>
      </c>
      <c r="AI338" s="26">
        <v>25.456570006755701</v>
      </c>
      <c r="AJ338" s="26">
        <v>16.0474023616902</v>
      </c>
      <c r="AK338" s="26">
        <v>16.6938750782334</v>
      </c>
      <c r="AL338" s="20">
        <v>14.1552589704322</v>
      </c>
      <c r="AM338" s="20">
        <v>13.9976094905523</v>
      </c>
      <c r="AN338" s="20" t="s">
        <v>373</v>
      </c>
    </row>
    <row r="339" spans="1:40" x14ac:dyDescent="0.25">
      <c r="A339" s="20">
        <v>337</v>
      </c>
      <c r="B339" s="20" t="s">
        <v>406</v>
      </c>
      <c r="C339" s="20" t="s">
        <v>61</v>
      </c>
      <c r="D339">
        <v>0</v>
      </c>
      <c r="E339" s="20" t="s">
        <v>372</v>
      </c>
      <c r="F339" s="20">
        <v>-7.5919999999999996</v>
      </c>
      <c r="G339" s="20">
        <v>127.581</v>
      </c>
      <c r="H339" s="20">
        <v>166.9</v>
      </c>
      <c r="I339" s="20">
        <v>7.28961184086568</v>
      </c>
      <c r="J339" s="20">
        <v>84</v>
      </c>
      <c r="K339" s="20">
        <v>53</v>
      </c>
      <c r="L339" s="20">
        <v>60</v>
      </c>
      <c r="M339" s="20">
        <v>131.76003755791899</v>
      </c>
      <c r="N339" s="20">
        <v>17</v>
      </c>
      <c r="O339" s="20">
        <v>15</v>
      </c>
      <c r="P339" s="20">
        <v>6</v>
      </c>
      <c r="Q339" s="20">
        <v>6</v>
      </c>
      <c r="R339">
        <v>102</v>
      </c>
      <c r="S339">
        <v>90</v>
      </c>
      <c r="T339">
        <v>15.5617254901961</v>
      </c>
      <c r="U339">
        <v>54</v>
      </c>
      <c r="V339">
        <v>48</v>
      </c>
      <c r="W339">
        <v>55.114444444444501</v>
      </c>
      <c r="X339">
        <v>47.476863462811401</v>
      </c>
      <c r="Y339" s="20" t="s">
        <v>102</v>
      </c>
      <c r="Z339">
        <v>576</v>
      </c>
      <c r="AA339">
        <v>504</v>
      </c>
      <c r="AB339">
        <v>1080</v>
      </c>
      <c r="AC339">
        <v>9.4868329805051399</v>
      </c>
      <c r="AD339">
        <v>9.4868329805051399</v>
      </c>
      <c r="AE339">
        <v>4.2426406871192901</v>
      </c>
      <c r="AF339">
        <v>62.291572358771496</v>
      </c>
      <c r="AG339">
        <v>57.241646731375397</v>
      </c>
      <c r="AH339">
        <v>17.315586486040999</v>
      </c>
      <c r="AI339">
        <v>16.6037958814339</v>
      </c>
      <c r="AJ339">
        <v>12.8638237139336</v>
      </c>
      <c r="AK339">
        <v>12.891660674609099</v>
      </c>
      <c r="AL339" s="20">
        <v>1.7169557070582799</v>
      </c>
      <c r="AM339" s="20">
        <v>1.83539759180402</v>
      </c>
      <c r="AN339" s="20" t="s">
        <v>373</v>
      </c>
    </row>
    <row r="340" spans="1:40" x14ac:dyDescent="0.25">
      <c r="A340" s="20">
        <v>338</v>
      </c>
      <c r="B340" s="20" t="s">
        <v>407</v>
      </c>
      <c r="C340" s="20" t="s">
        <v>56</v>
      </c>
      <c r="D340">
        <v>0</v>
      </c>
      <c r="E340" s="20" t="s">
        <v>372</v>
      </c>
      <c r="F340" s="20">
        <v>-7.6029999999999998</v>
      </c>
      <c r="G340" s="20">
        <v>122.2</v>
      </c>
      <c r="H340" s="20">
        <v>18.5</v>
      </c>
      <c r="I340" s="20">
        <v>7.33530870072304</v>
      </c>
      <c r="J340" s="20">
        <v>293</v>
      </c>
      <c r="K340" s="20">
        <v>73</v>
      </c>
      <c r="L340" s="20">
        <v>-178</v>
      </c>
      <c r="M340" s="20">
        <v>1.9240508966407199</v>
      </c>
      <c r="N340" s="20">
        <v>21</v>
      </c>
      <c r="O340" s="20">
        <v>11</v>
      </c>
      <c r="P340" s="20">
        <v>4</v>
      </c>
      <c r="Q340" s="20">
        <v>4</v>
      </c>
      <c r="R340">
        <v>84</v>
      </c>
      <c r="S340">
        <v>44</v>
      </c>
      <c r="T340">
        <v>60.755930735930697</v>
      </c>
      <c r="U340">
        <v>52</v>
      </c>
      <c r="V340">
        <v>36</v>
      </c>
      <c r="W340">
        <v>119.954017094017</v>
      </c>
      <c r="X340">
        <v>136.30765585690301</v>
      </c>
      <c r="Y340" s="20" t="s">
        <v>102</v>
      </c>
      <c r="Z340">
        <v>320</v>
      </c>
      <c r="AA340">
        <v>288</v>
      </c>
      <c r="AB340">
        <v>608</v>
      </c>
      <c r="AC340">
        <v>8.4852813742385695</v>
      </c>
      <c r="AD340">
        <v>2.8284271247461898</v>
      </c>
      <c r="AE340">
        <v>2.8284271247461898</v>
      </c>
      <c r="AF340">
        <v>46.676509337626101</v>
      </c>
      <c r="AG340">
        <v>24.446826122436502</v>
      </c>
      <c r="AH340">
        <v>12.387552093475501</v>
      </c>
      <c r="AI340">
        <v>9.0154882062508204</v>
      </c>
      <c r="AJ340">
        <v>8.6353174132446302</v>
      </c>
      <c r="AK340">
        <v>8.1492666672395</v>
      </c>
      <c r="AL340" s="20">
        <v>6.4106721519666001</v>
      </c>
      <c r="AM340" s="20">
        <v>5.6119791277231199</v>
      </c>
      <c r="AN340" s="20" t="s">
        <v>373</v>
      </c>
    </row>
    <row r="341" spans="1:40" x14ac:dyDescent="0.25">
      <c r="A341" s="20">
        <v>339</v>
      </c>
      <c r="B341" s="20" t="s">
        <v>408</v>
      </c>
      <c r="C341" s="20" t="s">
        <v>80</v>
      </c>
      <c r="D341">
        <v>0</v>
      </c>
      <c r="E341" s="20" t="s">
        <v>372</v>
      </c>
      <c r="F341" s="20">
        <v>-60.29</v>
      </c>
      <c r="G341" s="20">
        <v>-24.9</v>
      </c>
      <c r="H341" s="20">
        <v>14</v>
      </c>
      <c r="I341" s="20">
        <v>7.01239810057477</v>
      </c>
      <c r="J341" s="20">
        <v>204</v>
      </c>
      <c r="K341" s="20">
        <v>47</v>
      </c>
      <c r="L341" s="20">
        <v>-99</v>
      </c>
      <c r="M341" s="20">
        <v>2.29834077409327</v>
      </c>
      <c r="N341" s="20">
        <v>21</v>
      </c>
      <c r="O341" s="20">
        <v>13</v>
      </c>
      <c r="P341" s="20">
        <v>3</v>
      </c>
      <c r="Q341" s="20">
        <v>3</v>
      </c>
      <c r="R341">
        <v>63</v>
      </c>
      <c r="S341">
        <v>39</v>
      </c>
      <c r="T341">
        <v>22.418315018314999</v>
      </c>
      <c r="U341">
        <v>27</v>
      </c>
      <c r="V341">
        <v>24</v>
      </c>
      <c r="W341">
        <v>85.002777777777794</v>
      </c>
      <c r="X341">
        <v>58.824862334907003</v>
      </c>
      <c r="Y341" s="20" t="s">
        <v>102</v>
      </c>
      <c r="Z341">
        <v>189</v>
      </c>
      <c r="AA341">
        <v>153</v>
      </c>
      <c r="AB341">
        <v>342</v>
      </c>
      <c r="AC341">
        <v>4.74341649025257</v>
      </c>
      <c r="AD341">
        <v>4.74341649025257</v>
      </c>
      <c r="AE341">
        <v>2.1213203435596402</v>
      </c>
      <c r="AF341">
        <v>32.934245152705799</v>
      </c>
      <c r="AG341">
        <v>33.284407632804196</v>
      </c>
      <c r="AH341">
        <v>9.0550935212462402</v>
      </c>
      <c r="AI341">
        <v>9.1126514109066505</v>
      </c>
      <c r="AJ341">
        <v>6.52193619499685</v>
      </c>
      <c r="AK341">
        <v>6.4872854738885</v>
      </c>
      <c r="AL341" s="20">
        <v>1.71467520248005</v>
      </c>
      <c r="AM341" s="20">
        <v>1.5815414316419301</v>
      </c>
      <c r="AN341" s="20" t="s">
        <v>373</v>
      </c>
    </row>
    <row r="342" spans="1:40" x14ac:dyDescent="0.25">
      <c r="A342" s="20">
        <v>340</v>
      </c>
      <c r="B342" s="20" t="s">
        <v>409</v>
      </c>
      <c r="C342" s="20" t="s">
        <v>56</v>
      </c>
      <c r="D342">
        <v>1</v>
      </c>
      <c r="E342" s="20" t="s">
        <v>372</v>
      </c>
      <c r="F342" s="20">
        <v>17.597999999999999</v>
      </c>
      <c r="G342" s="20">
        <v>120.809</v>
      </c>
      <c r="H342" s="20">
        <v>10</v>
      </c>
      <c r="I342" s="20">
        <v>7.1233261813193103</v>
      </c>
      <c r="J342" s="20">
        <v>0.1</v>
      </c>
      <c r="K342" s="20">
        <v>35</v>
      </c>
      <c r="L342" s="20">
        <v>40</v>
      </c>
      <c r="M342" s="20">
        <v>1.96992989108536</v>
      </c>
      <c r="N342" s="20">
        <v>15</v>
      </c>
      <c r="O342" s="20">
        <v>15</v>
      </c>
      <c r="P342" s="20">
        <v>6</v>
      </c>
      <c r="Q342" s="20">
        <v>6</v>
      </c>
      <c r="R342">
        <v>90</v>
      </c>
      <c r="S342">
        <v>90</v>
      </c>
      <c r="T342">
        <v>14.6894666666667</v>
      </c>
      <c r="U342">
        <v>66</v>
      </c>
      <c r="V342">
        <v>54</v>
      </c>
      <c r="W342">
        <v>33.385151515151499</v>
      </c>
      <c r="X342">
        <v>28.996189335421999</v>
      </c>
      <c r="Y342" s="20" t="s">
        <v>102</v>
      </c>
      <c r="Z342">
        <v>756</v>
      </c>
      <c r="AA342">
        <v>576</v>
      </c>
      <c r="AB342">
        <v>1332</v>
      </c>
      <c r="AC342">
        <v>39.115214431215897</v>
      </c>
      <c r="AD342">
        <v>4.2426406871192901</v>
      </c>
      <c r="AE342">
        <v>4.2426406871192901</v>
      </c>
      <c r="AF342">
        <v>64.561077732900202</v>
      </c>
      <c r="AG342">
        <v>77.328939317229597</v>
      </c>
      <c r="AH342">
        <v>17.9725599147887</v>
      </c>
      <c r="AI342">
        <v>19.606280882695</v>
      </c>
      <c r="AJ342">
        <v>12.8988203968152</v>
      </c>
      <c r="AK342">
        <v>13.378245852823699</v>
      </c>
      <c r="AL342" s="20">
        <v>9.6629320032793302</v>
      </c>
      <c r="AM342" s="20">
        <v>9.9834530268840407</v>
      </c>
      <c r="AN342" s="20" t="s">
        <v>373</v>
      </c>
    </row>
    <row r="343" spans="1:40" x14ac:dyDescent="0.25">
      <c r="A343" s="20">
        <v>341</v>
      </c>
      <c r="B343" s="20" t="s">
        <v>410</v>
      </c>
      <c r="C343" s="20" t="s">
        <v>56</v>
      </c>
      <c r="D343">
        <v>1</v>
      </c>
      <c r="E343" s="20" t="s">
        <v>372</v>
      </c>
      <c r="F343" s="20">
        <v>40.524999999999999</v>
      </c>
      <c r="G343" s="20">
        <v>-124.423</v>
      </c>
      <c r="H343" s="20">
        <v>17.899999999999999</v>
      </c>
      <c r="I343" s="20">
        <v>6.4472004144753203</v>
      </c>
      <c r="J343" s="20">
        <v>254</v>
      </c>
      <c r="K343" s="20">
        <v>84</v>
      </c>
      <c r="L343" s="20">
        <v>32</v>
      </c>
      <c r="M343" s="20">
        <v>0.66162048028325804</v>
      </c>
      <c r="N343" s="20">
        <v>15</v>
      </c>
      <c r="O343" s="20">
        <v>10</v>
      </c>
      <c r="P343" s="20">
        <v>4</v>
      </c>
      <c r="Q343" s="20">
        <v>4</v>
      </c>
      <c r="R343">
        <v>60</v>
      </c>
      <c r="S343">
        <v>40</v>
      </c>
      <c r="T343">
        <v>4.5094666666666701</v>
      </c>
      <c r="U343">
        <v>28</v>
      </c>
      <c r="V343">
        <v>28</v>
      </c>
      <c r="W343">
        <v>13.8044897959184</v>
      </c>
      <c r="X343">
        <v>16.777914434725002</v>
      </c>
      <c r="Y343" s="20" t="s">
        <v>102</v>
      </c>
      <c r="Z343">
        <v>96</v>
      </c>
      <c r="AA343">
        <v>112</v>
      </c>
      <c r="AB343">
        <v>208</v>
      </c>
      <c r="AC343">
        <v>10.198039027185599</v>
      </c>
      <c r="AD343">
        <v>2.8284271247461898</v>
      </c>
      <c r="AE343">
        <v>6.3245553203367599</v>
      </c>
      <c r="AF343">
        <v>12.866195500697</v>
      </c>
      <c r="AG343">
        <v>19.9834734384374</v>
      </c>
      <c r="AH343">
        <v>5.6089465940080299</v>
      </c>
      <c r="AI343">
        <v>7.3603452610430002</v>
      </c>
      <c r="AJ343">
        <v>6.9964397686577096</v>
      </c>
      <c r="AK343">
        <v>7.8983479843233297</v>
      </c>
      <c r="AL343" s="20">
        <v>11.9915808019627</v>
      </c>
      <c r="AM343" s="20">
        <v>11.4236447638221</v>
      </c>
      <c r="AN343" s="20" t="s">
        <v>373</v>
      </c>
    </row>
    <row r="344" spans="1:40" x14ac:dyDescent="0.25">
      <c r="A344" s="20">
        <v>342</v>
      </c>
      <c r="B344" s="20" t="s">
        <v>411</v>
      </c>
      <c r="C344" s="20" t="s">
        <v>61</v>
      </c>
      <c r="D344">
        <v>1</v>
      </c>
      <c r="E344" s="20" t="s">
        <v>372</v>
      </c>
      <c r="F344" s="20">
        <v>-19.318000000000001</v>
      </c>
      <c r="G344" s="20">
        <v>-172.1</v>
      </c>
      <c r="H344" s="20">
        <v>24.8</v>
      </c>
      <c r="I344" s="20">
        <v>7.3433756750371701</v>
      </c>
      <c r="J344" s="20">
        <v>188</v>
      </c>
      <c r="K344" s="20">
        <v>40</v>
      </c>
      <c r="L344" s="20">
        <v>66.599999999999994</v>
      </c>
      <c r="M344" s="20">
        <v>8.0875221481499793</v>
      </c>
      <c r="N344" s="20">
        <v>20</v>
      </c>
      <c r="O344" s="20">
        <v>18</v>
      </c>
      <c r="P344" s="20">
        <v>6</v>
      </c>
      <c r="Q344" s="20">
        <v>6</v>
      </c>
      <c r="R344">
        <v>120</v>
      </c>
      <c r="S344">
        <v>108</v>
      </c>
      <c r="T344">
        <v>13.280388888888901</v>
      </c>
      <c r="U344">
        <v>60</v>
      </c>
      <c r="V344">
        <v>54</v>
      </c>
      <c r="W344">
        <v>53.121555555555602</v>
      </c>
      <c r="X344">
        <v>54.242824659358597</v>
      </c>
      <c r="Y344" s="20" t="s">
        <v>102</v>
      </c>
      <c r="Z344">
        <v>756</v>
      </c>
      <c r="AA344">
        <v>540</v>
      </c>
      <c r="AB344">
        <v>1296</v>
      </c>
      <c r="AC344">
        <v>15.2970585407784</v>
      </c>
      <c r="AD344">
        <v>4.2426406871192901</v>
      </c>
      <c r="AE344">
        <v>4.2426406871192901</v>
      </c>
      <c r="AF344">
        <v>79.561792297124796</v>
      </c>
      <c r="AG344">
        <v>54.204353589368701</v>
      </c>
      <c r="AH344">
        <v>19.9697014330924</v>
      </c>
      <c r="AI344">
        <v>16.3760536128746</v>
      </c>
      <c r="AJ344">
        <v>13.130324479856201</v>
      </c>
      <c r="AK344">
        <v>13.0990421339832</v>
      </c>
      <c r="AL344" s="20">
        <v>15.4900448424141</v>
      </c>
      <c r="AM344" s="20">
        <v>14.333028632148901</v>
      </c>
      <c r="AN344" s="20" t="s">
        <v>373</v>
      </c>
    </row>
    <row r="345" spans="1:40" x14ac:dyDescent="0.25">
      <c r="A345" s="20">
        <v>343</v>
      </c>
      <c r="B345" s="20" t="s">
        <v>412</v>
      </c>
      <c r="C345" s="20" t="s">
        <v>63</v>
      </c>
      <c r="D345">
        <v>0</v>
      </c>
      <c r="E345" s="20" t="s">
        <v>372</v>
      </c>
      <c r="F345" s="20">
        <v>32.987000000000002</v>
      </c>
      <c r="G345" s="20">
        <v>69.456999999999994</v>
      </c>
      <c r="H345" s="20">
        <v>5</v>
      </c>
      <c r="I345" s="20">
        <v>6.2186033257383402</v>
      </c>
      <c r="J345" s="20">
        <v>218</v>
      </c>
      <c r="K345" s="20">
        <v>78</v>
      </c>
      <c r="L345" s="20">
        <v>17</v>
      </c>
      <c r="M345" s="20">
        <v>1.0874095970647799</v>
      </c>
      <c r="N345" s="20">
        <v>12</v>
      </c>
      <c r="O345" s="20">
        <v>10</v>
      </c>
      <c r="P345" s="20">
        <v>2</v>
      </c>
      <c r="Q345" s="20">
        <v>2</v>
      </c>
      <c r="R345">
        <v>24</v>
      </c>
      <c r="S345">
        <v>20</v>
      </c>
      <c r="T345">
        <v>15.9449166666667</v>
      </c>
      <c r="U345">
        <v>18</v>
      </c>
      <c r="V345">
        <v>14</v>
      </c>
      <c r="W345">
        <v>30.3712698412698</v>
      </c>
      <c r="X345">
        <v>51.522662538043903</v>
      </c>
      <c r="Y345" s="20" t="s">
        <v>102</v>
      </c>
      <c r="Z345">
        <v>20</v>
      </c>
      <c r="AA345">
        <v>16</v>
      </c>
      <c r="AB345">
        <v>36</v>
      </c>
      <c r="AC345">
        <v>1.4142135623731</v>
      </c>
      <c r="AD345">
        <v>1.4142135623731</v>
      </c>
      <c r="AE345">
        <v>1.4142135623731</v>
      </c>
      <c r="AF345">
        <v>10.8913199006608</v>
      </c>
      <c r="AG345">
        <v>5.5550506914087299</v>
      </c>
      <c r="AH345">
        <v>3.8341927103389701</v>
      </c>
      <c r="AI345">
        <v>2.7088679050079301</v>
      </c>
      <c r="AJ345">
        <v>4.0294689661193202</v>
      </c>
      <c r="AK345">
        <v>3.6326093796947201</v>
      </c>
      <c r="AL345" s="20">
        <v>0.82569995155625397</v>
      </c>
      <c r="AM345" s="20">
        <v>0.54473495389960003</v>
      </c>
      <c r="AN345" s="20" t="s">
        <v>373</v>
      </c>
    </row>
    <row r="346" spans="1:40" x14ac:dyDescent="0.25">
      <c r="A346" s="20">
        <v>344</v>
      </c>
      <c r="B346" s="20" t="s">
        <v>413</v>
      </c>
      <c r="C346" s="20" t="s">
        <v>61</v>
      </c>
      <c r="D346">
        <v>1</v>
      </c>
      <c r="E346" s="20" t="s">
        <v>372</v>
      </c>
      <c r="F346" s="20">
        <v>37.701999999999998</v>
      </c>
      <c r="G346" s="20">
        <v>141.58699999999999</v>
      </c>
      <c r="H346" s="20">
        <v>63.1</v>
      </c>
      <c r="I346" s="20">
        <v>7.19319646016503</v>
      </c>
      <c r="J346" s="20">
        <v>184</v>
      </c>
      <c r="K346" s="20">
        <v>40</v>
      </c>
      <c r="L346" s="20">
        <v>80</v>
      </c>
      <c r="M346" s="20">
        <v>37.388495612538399</v>
      </c>
      <c r="N346" s="20">
        <v>20</v>
      </c>
      <c r="O346" s="20">
        <v>20</v>
      </c>
      <c r="P346" s="20">
        <v>4</v>
      </c>
      <c r="Q346" s="20">
        <v>4</v>
      </c>
      <c r="R346">
        <v>80</v>
      </c>
      <c r="S346">
        <v>80</v>
      </c>
      <c r="T346">
        <v>15.998849999999999</v>
      </c>
      <c r="U346">
        <v>40</v>
      </c>
      <c r="V346">
        <v>36</v>
      </c>
      <c r="W346">
        <v>71.105999999999995</v>
      </c>
      <c r="X346">
        <v>58.351078550578599</v>
      </c>
      <c r="Y346" s="20" t="s">
        <v>102</v>
      </c>
      <c r="Z346">
        <v>384</v>
      </c>
      <c r="AA346">
        <v>272</v>
      </c>
      <c r="AB346">
        <v>656</v>
      </c>
      <c r="AC346">
        <v>10.198039027185599</v>
      </c>
      <c r="AD346">
        <v>2.8284271247461898</v>
      </c>
      <c r="AE346">
        <v>2.8284271247461898</v>
      </c>
      <c r="AF346">
        <v>39.328260883007999</v>
      </c>
      <c r="AG346">
        <v>60.086235558479203</v>
      </c>
      <c r="AH346">
        <v>11.7215109449879</v>
      </c>
      <c r="AI346">
        <v>14.4444673499386</v>
      </c>
      <c r="AJ346">
        <v>8.5372850424392297</v>
      </c>
      <c r="AK346">
        <v>9.1619478331410509</v>
      </c>
      <c r="AL346" s="20">
        <v>11.682850739866501</v>
      </c>
      <c r="AM346" s="20">
        <v>11.5604410733328</v>
      </c>
      <c r="AN346" s="20" t="s">
        <v>373</v>
      </c>
    </row>
    <row r="347" spans="1:40" x14ac:dyDescent="0.25">
      <c r="A347" s="20">
        <v>345</v>
      </c>
      <c r="B347" s="20" t="s">
        <v>414</v>
      </c>
      <c r="C347" s="20" t="s">
        <v>61</v>
      </c>
      <c r="D347">
        <v>1</v>
      </c>
      <c r="E347" s="20" t="s">
        <v>372</v>
      </c>
      <c r="F347" s="20">
        <v>-22.58</v>
      </c>
      <c r="G347" s="20">
        <v>170.35</v>
      </c>
      <c r="H347" s="20">
        <v>10</v>
      </c>
      <c r="I347" s="20">
        <v>6.9632897076023497</v>
      </c>
      <c r="J347" s="20">
        <v>306.59508087788998</v>
      </c>
      <c r="K347" s="20">
        <v>31.232466527804601</v>
      </c>
      <c r="L347" s="20">
        <v>102.10041709441199</v>
      </c>
      <c r="M347" s="20">
        <v>5.16055824634795</v>
      </c>
      <c r="N347" s="20">
        <v>23</v>
      </c>
      <c r="O347" s="20">
        <v>14</v>
      </c>
      <c r="P347" s="20">
        <v>4</v>
      </c>
      <c r="Q347" s="20">
        <v>4</v>
      </c>
      <c r="R347">
        <v>92</v>
      </c>
      <c r="S347">
        <v>56</v>
      </c>
      <c r="T347">
        <v>9.8952173913043495</v>
      </c>
      <c r="U347">
        <v>48</v>
      </c>
      <c r="V347">
        <v>40</v>
      </c>
      <c r="W347">
        <v>26.5521666666667</v>
      </c>
      <c r="X347">
        <v>25.599640131258798</v>
      </c>
      <c r="Y347" s="20" t="s">
        <v>102</v>
      </c>
      <c r="Z347">
        <v>368</v>
      </c>
      <c r="AA347">
        <v>224</v>
      </c>
      <c r="AB347">
        <v>592</v>
      </c>
      <c r="AC347">
        <v>26.0768096208106</v>
      </c>
      <c r="AD347">
        <v>2.8284271247461898</v>
      </c>
      <c r="AE347">
        <v>2.8284271247461898</v>
      </c>
      <c r="AF347">
        <v>31.055657287639701</v>
      </c>
      <c r="AG347">
        <v>53.327945417207602</v>
      </c>
      <c r="AH347">
        <v>10.3444664273268</v>
      </c>
      <c r="AI347">
        <v>13.299175075575199</v>
      </c>
      <c r="AJ347">
        <v>8.4346315715778495</v>
      </c>
      <c r="AK347">
        <v>8.9470312587880194</v>
      </c>
      <c r="AL347" s="20">
        <v>5.7926739844393103</v>
      </c>
      <c r="AM347" s="20">
        <v>7.1108106324103497</v>
      </c>
      <c r="AN347" s="20" t="s">
        <v>373</v>
      </c>
    </row>
    <row r="348" spans="1:40" x14ac:dyDescent="0.25">
      <c r="A348" s="20">
        <v>346</v>
      </c>
      <c r="B348" s="20" t="s">
        <v>415</v>
      </c>
      <c r="C348" s="20" t="s">
        <v>61</v>
      </c>
      <c r="D348">
        <v>1</v>
      </c>
      <c r="E348" s="20" t="s">
        <v>372</v>
      </c>
      <c r="F348" s="20">
        <v>18.22</v>
      </c>
      <c r="G348" s="20">
        <v>-103.29</v>
      </c>
      <c r="H348" s="20">
        <v>15</v>
      </c>
      <c r="I348" s="20">
        <v>7.5906403217915903</v>
      </c>
      <c r="J348" s="20">
        <v>295</v>
      </c>
      <c r="K348" s="20">
        <v>22</v>
      </c>
      <c r="L348" s="20">
        <v>85</v>
      </c>
      <c r="M348" s="20">
        <v>1.2644249080832199</v>
      </c>
      <c r="N348" s="20">
        <v>27</v>
      </c>
      <c r="O348" s="20">
        <v>20</v>
      </c>
      <c r="P348" s="20">
        <v>5</v>
      </c>
      <c r="Q348" s="20">
        <v>5</v>
      </c>
      <c r="R348">
        <v>135</v>
      </c>
      <c r="S348">
        <v>100</v>
      </c>
      <c r="T348">
        <v>42.344407407407402</v>
      </c>
      <c r="U348">
        <v>110</v>
      </c>
      <c r="V348">
        <v>55</v>
      </c>
      <c r="W348">
        <v>94.487520661157006</v>
      </c>
      <c r="X348">
        <v>93.219590930252593</v>
      </c>
      <c r="Y348" s="20" t="s">
        <v>102</v>
      </c>
      <c r="Z348">
        <v>1525</v>
      </c>
      <c r="AA348">
        <v>675</v>
      </c>
      <c r="AB348">
        <v>2200</v>
      </c>
      <c r="AC348">
        <v>61.745445176142397</v>
      </c>
      <c r="AD348">
        <v>3.53553390593274</v>
      </c>
      <c r="AE348">
        <v>17.677669529663699</v>
      </c>
      <c r="AF348">
        <v>71.020355218707806</v>
      </c>
      <c r="AG348">
        <v>61.151517457626497</v>
      </c>
      <c r="AH348">
        <v>17.3097433031636</v>
      </c>
      <c r="AI348">
        <v>16.203730473290399</v>
      </c>
      <c r="AJ348">
        <v>11.129264223799501</v>
      </c>
      <c r="AK348">
        <v>11.1398745859972</v>
      </c>
      <c r="AL348" s="20">
        <v>38.7320287484402</v>
      </c>
      <c r="AM348" s="20">
        <v>32.583965836282097</v>
      </c>
      <c r="AN348" s="20" t="s">
        <v>373</v>
      </c>
    </row>
    <row r="349" spans="1:40" x14ac:dyDescent="0.25">
      <c r="A349" s="20">
        <v>347</v>
      </c>
      <c r="B349" s="20" t="s">
        <v>416</v>
      </c>
      <c r="C349" s="20" t="s">
        <v>56</v>
      </c>
      <c r="D349">
        <v>0</v>
      </c>
      <c r="E349" s="20" t="s">
        <v>372</v>
      </c>
      <c r="F349" s="20">
        <v>37.783999999999999</v>
      </c>
      <c r="G349" s="20">
        <v>101.26600000000001</v>
      </c>
      <c r="H349" s="20">
        <v>6</v>
      </c>
      <c r="I349" s="20">
        <v>6.6489070451035897</v>
      </c>
      <c r="J349" s="20">
        <v>289</v>
      </c>
      <c r="K349" s="20">
        <v>84</v>
      </c>
      <c r="L349" s="20">
        <v>45</v>
      </c>
      <c r="M349" s="20">
        <v>0.12237559837350399</v>
      </c>
      <c r="N349" s="20">
        <v>27</v>
      </c>
      <c r="O349" s="20">
        <v>12</v>
      </c>
      <c r="P349" s="20">
        <v>2</v>
      </c>
      <c r="Q349" s="20">
        <v>1.97</v>
      </c>
      <c r="R349">
        <v>54</v>
      </c>
      <c r="S349">
        <v>23.64</v>
      </c>
      <c r="T349">
        <v>25.779413580246899</v>
      </c>
      <c r="U349">
        <v>28</v>
      </c>
      <c r="V349">
        <v>11.82</v>
      </c>
      <c r="W349">
        <v>99.434880952380894</v>
      </c>
      <c r="X349">
        <v>143.69036888513199</v>
      </c>
      <c r="Y349" s="20" t="s">
        <v>102</v>
      </c>
      <c r="Z349">
        <v>55.16</v>
      </c>
      <c r="AA349">
        <v>35.46</v>
      </c>
      <c r="AB349">
        <v>90.62</v>
      </c>
      <c r="AC349">
        <v>18.4201146847678</v>
      </c>
      <c r="AD349">
        <v>1.40364703540456</v>
      </c>
      <c r="AE349">
        <v>1.40364703540456</v>
      </c>
      <c r="AF349">
        <v>16.7368670458651</v>
      </c>
      <c r="AG349">
        <v>2.5267561943521599</v>
      </c>
      <c r="AH349">
        <v>5.2642510897905899</v>
      </c>
      <c r="AI349">
        <v>1.9048298605631999</v>
      </c>
      <c r="AJ349">
        <v>4.3006442507461298</v>
      </c>
      <c r="AK349">
        <v>3.3024364141226998</v>
      </c>
      <c r="AL349" s="20">
        <v>3.4120090884990302</v>
      </c>
      <c r="AM349" s="20">
        <v>2.3436739192984999</v>
      </c>
      <c r="AN349" s="20" t="s">
        <v>373</v>
      </c>
    </row>
    <row r="350" spans="1:40" x14ac:dyDescent="0.25">
      <c r="A350" s="20">
        <v>348</v>
      </c>
      <c r="B350" s="20" t="s">
        <v>417</v>
      </c>
      <c r="C350" s="20" t="s">
        <v>80</v>
      </c>
      <c r="D350">
        <v>1</v>
      </c>
      <c r="E350" s="20" t="s">
        <v>372</v>
      </c>
      <c r="F350" s="20">
        <v>-9.7899999999999991</v>
      </c>
      <c r="G350" s="20">
        <v>159.601</v>
      </c>
      <c r="H350" s="20">
        <v>15</v>
      </c>
      <c r="I350" s="20">
        <v>7.0544347501715601</v>
      </c>
      <c r="J350" s="20">
        <v>261</v>
      </c>
      <c r="K350" s="20">
        <v>81</v>
      </c>
      <c r="L350" s="20">
        <v>-80</v>
      </c>
      <c r="M350" s="20">
        <v>1.83082212539816</v>
      </c>
      <c r="N350" s="20">
        <v>15</v>
      </c>
      <c r="O350" s="20">
        <v>11</v>
      </c>
      <c r="P350" s="20">
        <v>4</v>
      </c>
      <c r="Q350" s="20">
        <v>4</v>
      </c>
      <c r="R350">
        <v>60</v>
      </c>
      <c r="S350">
        <v>44</v>
      </c>
      <c r="T350">
        <v>36.716969696969699</v>
      </c>
      <c r="U350">
        <v>40</v>
      </c>
      <c r="V350">
        <v>36</v>
      </c>
      <c r="W350">
        <v>67.314444444444405</v>
      </c>
      <c r="X350">
        <v>77.058692761944499</v>
      </c>
      <c r="Y350" s="20" t="s">
        <v>102</v>
      </c>
      <c r="Z350">
        <v>256</v>
      </c>
      <c r="AA350">
        <v>192</v>
      </c>
      <c r="AB350">
        <v>448</v>
      </c>
      <c r="AC350">
        <v>2.8284271247461898</v>
      </c>
      <c r="AD350">
        <v>2.8284271247461898</v>
      </c>
      <c r="AE350">
        <v>2.8284271247461898</v>
      </c>
      <c r="AF350">
        <v>41.322231107696403</v>
      </c>
      <c r="AG350">
        <v>25.414313521523301</v>
      </c>
      <c r="AH350">
        <v>11.4222960299528</v>
      </c>
      <c r="AI350">
        <v>9.0147943370071992</v>
      </c>
      <c r="AJ350">
        <v>8.6331143955478105</v>
      </c>
      <c r="AK350">
        <v>8.1742153317980399</v>
      </c>
      <c r="AL350" s="20">
        <v>2.8693353237291701</v>
      </c>
      <c r="AM350" s="20">
        <v>3.0358809874565198</v>
      </c>
      <c r="AN350" s="20" t="s">
        <v>373</v>
      </c>
    </row>
    <row r="351" spans="1:40" x14ac:dyDescent="0.25">
      <c r="A351" s="20">
        <v>349</v>
      </c>
      <c r="B351" s="20" t="s">
        <v>418</v>
      </c>
      <c r="C351" s="20" t="s">
        <v>63</v>
      </c>
      <c r="D351">
        <v>1</v>
      </c>
      <c r="E351" s="20" t="s">
        <v>372</v>
      </c>
      <c r="F351" s="20">
        <v>23.14</v>
      </c>
      <c r="G351" s="20">
        <v>121.2</v>
      </c>
      <c r="H351" s="20">
        <v>7</v>
      </c>
      <c r="I351" s="20">
        <v>7.0349612432793096</v>
      </c>
      <c r="J351" s="20">
        <v>203</v>
      </c>
      <c r="K351" s="20">
        <v>69</v>
      </c>
      <c r="L351" s="20">
        <v>26</v>
      </c>
      <c r="M351" s="20">
        <v>0.46493701451958802</v>
      </c>
      <c r="N351" s="20">
        <v>26</v>
      </c>
      <c r="O351" s="20">
        <v>10</v>
      </c>
      <c r="P351" s="20">
        <v>3</v>
      </c>
      <c r="Q351" s="20">
        <v>3</v>
      </c>
      <c r="R351">
        <v>78</v>
      </c>
      <c r="S351">
        <v>30</v>
      </c>
      <c r="T351">
        <v>53.946730769230797</v>
      </c>
      <c r="U351">
        <v>57</v>
      </c>
      <c r="V351">
        <v>18</v>
      </c>
      <c r="W351">
        <v>123.036403508772</v>
      </c>
      <c r="X351">
        <v>116.55318819543599</v>
      </c>
      <c r="Y351" s="20" t="s">
        <v>102</v>
      </c>
      <c r="Z351">
        <v>270</v>
      </c>
      <c r="AA351">
        <v>162</v>
      </c>
      <c r="AB351">
        <v>432</v>
      </c>
      <c r="AC351">
        <v>44.949972191315098</v>
      </c>
      <c r="AD351">
        <v>4.74341649025257</v>
      </c>
      <c r="AE351">
        <v>2.1213203435596402</v>
      </c>
      <c r="AF351">
        <v>23.120845297301098</v>
      </c>
      <c r="AG351">
        <v>7.66409187352372</v>
      </c>
      <c r="AH351">
        <v>18.719684997508899</v>
      </c>
      <c r="AI351">
        <v>6.8565771928957799</v>
      </c>
      <c r="AJ351">
        <v>6.1372985849819104</v>
      </c>
      <c r="AK351">
        <v>5.1751833809131398</v>
      </c>
      <c r="AL351" s="20">
        <v>21.0040298538161</v>
      </c>
      <c r="AM351" s="20">
        <v>16.897730030391699</v>
      </c>
      <c r="AN351" s="20" t="s">
        <v>373</v>
      </c>
    </row>
    <row r="352" spans="1:40" x14ac:dyDescent="0.25">
      <c r="A352" s="20">
        <v>350</v>
      </c>
      <c r="B352" s="20" t="s">
        <v>419</v>
      </c>
      <c r="C352" s="20" t="s">
        <v>63</v>
      </c>
      <c r="D352">
        <v>0</v>
      </c>
      <c r="E352" s="20" t="s">
        <v>372</v>
      </c>
      <c r="F352" s="20">
        <v>2.74</v>
      </c>
      <c r="G352" s="20">
        <v>127.051</v>
      </c>
      <c r="H352" s="20">
        <v>48</v>
      </c>
      <c r="I352" s="20">
        <v>7.06797703768214</v>
      </c>
      <c r="J352" s="20">
        <v>307</v>
      </c>
      <c r="K352" s="20">
        <v>79</v>
      </c>
      <c r="L352" s="20">
        <v>-13</v>
      </c>
      <c r="M352" s="20">
        <v>12.007003273585701</v>
      </c>
      <c r="N352" s="20">
        <v>15</v>
      </c>
      <c r="O352" s="20">
        <v>15</v>
      </c>
      <c r="P352" s="20">
        <v>5</v>
      </c>
      <c r="Q352" s="20">
        <v>5</v>
      </c>
      <c r="R352">
        <v>75</v>
      </c>
      <c r="S352">
        <v>75</v>
      </c>
      <c r="T352">
        <v>11.846222222222201</v>
      </c>
      <c r="U352">
        <v>40</v>
      </c>
      <c r="V352">
        <v>40</v>
      </c>
      <c r="W352">
        <v>41.646875000000001</v>
      </c>
      <c r="X352">
        <v>33.569910198581901</v>
      </c>
      <c r="Y352" s="20" t="s">
        <v>102</v>
      </c>
      <c r="Z352">
        <v>425</v>
      </c>
      <c r="AA352">
        <v>225</v>
      </c>
      <c r="AB352">
        <v>650</v>
      </c>
      <c r="AC352">
        <v>7.9056941504209499</v>
      </c>
      <c r="AD352">
        <v>7.9056941504209499</v>
      </c>
      <c r="AE352">
        <v>3.53553390593274</v>
      </c>
      <c r="AF352">
        <v>52.5913828677635</v>
      </c>
      <c r="AG352">
        <v>49.668630512033303</v>
      </c>
      <c r="AH352">
        <v>14.5915776989292</v>
      </c>
      <c r="AI352">
        <v>14.2332250074667</v>
      </c>
      <c r="AJ352">
        <v>10.9452995012063</v>
      </c>
      <c r="AK352">
        <v>10.718634819429701</v>
      </c>
      <c r="AL352" s="20">
        <v>0.63753890077390596</v>
      </c>
      <c r="AM352" s="20">
        <v>0.50993591754258705</v>
      </c>
      <c r="AN352" s="20" t="s">
        <v>373</v>
      </c>
    </row>
    <row r="353" spans="1:40" x14ac:dyDescent="0.25">
      <c r="A353" s="20">
        <v>351</v>
      </c>
      <c r="B353" s="20" t="s">
        <v>420</v>
      </c>
      <c r="C353" s="20" t="s">
        <v>61</v>
      </c>
      <c r="D353">
        <v>1</v>
      </c>
      <c r="E353" s="20" t="s">
        <v>372</v>
      </c>
      <c r="F353" s="20">
        <v>-29.954999999999998</v>
      </c>
      <c r="G353" s="20">
        <v>-177.83799999999999</v>
      </c>
      <c r="H353" s="20">
        <v>49</v>
      </c>
      <c r="I353" s="20">
        <v>7.1634934641964696</v>
      </c>
      <c r="J353" s="20">
        <v>176</v>
      </c>
      <c r="K353" s="20">
        <v>27</v>
      </c>
      <c r="L353" s="20">
        <v>72</v>
      </c>
      <c r="M353" s="20">
        <v>32.353681676216603</v>
      </c>
      <c r="N353" s="20">
        <v>15</v>
      </c>
      <c r="O353" s="20">
        <v>15</v>
      </c>
      <c r="P353" s="20">
        <v>5</v>
      </c>
      <c r="Q353" s="20">
        <v>5</v>
      </c>
      <c r="R353">
        <v>75</v>
      </c>
      <c r="S353">
        <v>75</v>
      </c>
      <c r="T353">
        <v>16.4286666666667</v>
      </c>
      <c r="U353">
        <v>45</v>
      </c>
      <c r="V353">
        <v>45</v>
      </c>
      <c r="W353">
        <v>45.6351851851852</v>
      </c>
      <c r="X353">
        <v>37.866365506749297</v>
      </c>
      <c r="Y353" s="20" t="s">
        <v>102</v>
      </c>
      <c r="Z353">
        <v>450</v>
      </c>
      <c r="AA353">
        <v>350</v>
      </c>
      <c r="AB353">
        <v>800</v>
      </c>
      <c r="AC353">
        <v>10.606601717798201</v>
      </c>
      <c r="AD353">
        <v>7.9056941504209499</v>
      </c>
      <c r="AE353">
        <v>3.53553390593274</v>
      </c>
      <c r="AF353">
        <v>60.659876195277498</v>
      </c>
      <c r="AG353">
        <v>59.041578039129597</v>
      </c>
      <c r="AH353">
        <v>15.953481572757299</v>
      </c>
      <c r="AI353">
        <v>15.7460906225614</v>
      </c>
      <c r="AJ353">
        <v>11.025526563682</v>
      </c>
      <c r="AK353">
        <v>11.0386048681278</v>
      </c>
      <c r="AL353" s="20">
        <v>3.2250644164109299</v>
      </c>
      <c r="AM353" s="20">
        <v>3.3279681023110799</v>
      </c>
      <c r="AN353" s="20" t="s">
        <v>373</v>
      </c>
    </row>
    <row r="354" spans="1:40" x14ac:dyDescent="0.25">
      <c r="A354" s="20">
        <v>352</v>
      </c>
      <c r="B354" s="20" t="s">
        <v>421</v>
      </c>
      <c r="C354" s="20" t="s">
        <v>61</v>
      </c>
      <c r="D354">
        <v>1</v>
      </c>
      <c r="E354" s="20" t="s">
        <v>372</v>
      </c>
      <c r="F354" s="20">
        <v>-0.78100000000000003</v>
      </c>
      <c r="G354" s="20">
        <v>98.534000000000006</v>
      </c>
      <c r="H354" s="20">
        <v>15.5</v>
      </c>
      <c r="I354" s="20">
        <v>7.1451110797859201</v>
      </c>
      <c r="J354" s="20">
        <v>320</v>
      </c>
      <c r="K354" s="20">
        <v>10</v>
      </c>
      <c r="L354" s="20">
        <v>90</v>
      </c>
      <c r="M354" s="20">
        <v>5.6599365988739496</v>
      </c>
      <c r="N354" s="20">
        <v>25</v>
      </c>
      <c r="O354" s="20">
        <v>22</v>
      </c>
      <c r="P354" s="20">
        <v>5</v>
      </c>
      <c r="Q354" s="20">
        <v>5</v>
      </c>
      <c r="R354">
        <v>125</v>
      </c>
      <c r="S354">
        <v>110</v>
      </c>
      <c r="T354">
        <v>9.8229636363636406</v>
      </c>
      <c r="U354">
        <v>85</v>
      </c>
      <c r="V354">
        <v>90</v>
      </c>
      <c r="W354">
        <v>17.655653594771199</v>
      </c>
      <c r="X354">
        <v>23.366816313774599</v>
      </c>
      <c r="Y354" s="20" t="s">
        <v>102</v>
      </c>
      <c r="Z354">
        <v>975</v>
      </c>
      <c r="AA354">
        <v>475</v>
      </c>
      <c r="AB354">
        <v>1450</v>
      </c>
      <c r="AC354">
        <v>3.53553390593274</v>
      </c>
      <c r="AD354">
        <v>3.53553390593274</v>
      </c>
      <c r="AE354">
        <v>3.53553390593274</v>
      </c>
      <c r="AF354">
        <v>52.663781068474698</v>
      </c>
      <c r="AG354">
        <v>48.456984675269297</v>
      </c>
      <c r="AH354">
        <v>23.120489692047499</v>
      </c>
      <c r="AI354">
        <v>21.838069200900499</v>
      </c>
      <c r="AJ354">
        <v>10.6488218803275</v>
      </c>
      <c r="AK354">
        <v>10.4634914640614</v>
      </c>
      <c r="AL354" s="20">
        <v>10.3306303355604</v>
      </c>
      <c r="AM354" s="20">
        <v>12.6635112764983</v>
      </c>
      <c r="AN354" s="20" t="s">
        <v>373</v>
      </c>
    </row>
    <row r="355" spans="1:40" x14ac:dyDescent="0.25">
      <c r="A355" s="20">
        <v>353</v>
      </c>
      <c r="B355" s="20" t="s">
        <v>422</v>
      </c>
      <c r="C355" s="20" t="s">
        <v>63</v>
      </c>
      <c r="D355">
        <v>0</v>
      </c>
      <c r="E355" s="20" t="s">
        <v>372</v>
      </c>
      <c r="F355" s="20">
        <v>37.258409999999998</v>
      </c>
      <c r="G355" s="20">
        <v>37.048499999999997</v>
      </c>
      <c r="H355" s="20">
        <v>14</v>
      </c>
      <c r="I355" s="20">
        <v>7.8990001775435799</v>
      </c>
      <c r="J355" s="20">
        <v>28</v>
      </c>
      <c r="K355" s="20">
        <v>85</v>
      </c>
      <c r="L355" s="20">
        <v>-1</v>
      </c>
      <c r="M355" s="20">
        <v>1.88670866006916</v>
      </c>
      <c r="N355" s="20">
        <v>11</v>
      </c>
      <c r="O355" s="20">
        <v>8</v>
      </c>
      <c r="P355" s="20">
        <v>5</v>
      </c>
      <c r="Q355" s="20">
        <v>5</v>
      </c>
      <c r="R355">
        <v>405</v>
      </c>
      <c r="S355">
        <v>40</v>
      </c>
      <c r="T355">
        <v>135.635138888889</v>
      </c>
      <c r="U355">
        <v>290</v>
      </c>
      <c r="V355">
        <v>30</v>
      </c>
      <c r="W355">
        <v>252.56198275862101</v>
      </c>
      <c r="X355">
        <v>263.66975421465997</v>
      </c>
      <c r="Y355" s="20" t="s">
        <v>102</v>
      </c>
      <c r="Z355">
        <v>1925</v>
      </c>
      <c r="AA355">
        <v>350</v>
      </c>
      <c r="AB355">
        <v>2275</v>
      </c>
      <c r="AC355">
        <v>178.36058981737</v>
      </c>
      <c r="AD355">
        <v>14.577379737113301</v>
      </c>
      <c r="AE355">
        <v>82.840207628904494</v>
      </c>
      <c r="AF355">
        <v>37.872710057498402</v>
      </c>
      <c r="AG355">
        <v>24.617189409709901</v>
      </c>
      <c r="AH355">
        <v>77.4869346356232</v>
      </c>
      <c r="AI355">
        <v>39.999984700816</v>
      </c>
      <c r="AJ355">
        <v>9.8199491893197894</v>
      </c>
      <c r="AK355">
        <v>9.44618025228481</v>
      </c>
      <c r="AL355" s="20">
        <v>191.08598247474899</v>
      </c>
      <c r="AM355" s="20">
        <v>196.83748166518001</v>
      </c>
      <c r="AN355" s="20" t="s">
        <v>373</v>
      </c>
    </row>
    <row r="356" spans="1:40" x14ac:dyDescent="0.25">
      <c r="A356" s="20">
        <v>354</v>
      </c>
      <c r="B356" s="20" t="s">
        <v>423</v>
      </c>
      <c r="C356" s="20" t="s">
        <v>63</v>
      </c>
      <c r="D356">
        <v>0</v>
      </c>
      <c r="E356" s="20" t="s">
        <v>372</v>
      </c>
      <c r="F356" s="20">
        <v>38.024000000000001</v>
      </c>
      <c r="G356" s="20">
        <v>37.203000000000003</v>
      </c>
      <c r="H356" s="20">
        <v>10.5</v>
      </c>
      <c r="I356" s="20">
        <v>7.7687711563558999</v>
      </c>
      <c r="J356" s="20">
        <v>276</v>
      </c>
      <c r="K356" s="20">
        <v>80</v>
      </c>
      <c r="L356" s="20">
        <v>4</v>
      </c>
      <c r="M356" s="20">
        <v>0.65192246987791902</v>
      </c>
      <c r="N356" s="20">
        <v>16</v>
      </c>
      <c r="O356" s="20">
        <v>6</v>
      </c>
      <c r="P356" s="20">
        <v>5</v>
      </c>
      <c r="Q356" s="20">
        <v>5</v>
      </c>
      <c r="R356">
        <v>195</v>
      </c>
      <c r="S356">
        <v>30</v>
      </c>
      <c r="T356">
        <v>249.04102564102601</v>
      </c>
      <c r="U356">
        <v>195</v>
      </c>
      <c r="V356">
        <v>30</v>
      </c>
      <c r="W356">
        <v>249.04102564102601</v>
      </c>
      <c r="X356">
        <v>262.79247893904102</v>
      </c>
      <c r="Y356" s="20" t="s">
        <v>102</v>
      </c>
      <c r="Z356">
        <v>875</v>
      </c>
      <c r="AA356">
        <v>450</v>
      </c>
      <c r="AB356">
        <v>1325</v>
      </c>
      <c r="AC356">
        <v>143.570540153612</v>
      </c>
      <c r="AD356">
        <v>27.613402542968199</v>
      </c>
      <c r="AE356">
        <v>82.537870096095901</v>
      </c>
      <c r="AF356">
        <v>33.367178038452899</v>
      </c>
      <c r="AG356">
        <v>29.999999683143798</v>
      </c>
      <c r="AH356">
        <v>12.5702393272554</v>
      </c>
      <c r="AI356">
        <v>14.391674688688701</v>
      </c>
      <c r="AJ356">
        <v>9.7122133323860602</v>
      </c>
      <c r="AK356">
        <v>10.190484676487801</v>
      </c>
      <c r="AL356" s="20">
        <v>109.61282121398899</v>
      </c>
      <c r="AM356" s="20">
        <v>120.31572804189</v>
      </c>
      <c r="AN356" s="20" t="s">
        <v>373</v>
      </c>
    </row>
    <row r="357" spans="1:40" x14ac:dyDescent="0.25">
      <c r="A357" s="20">
        <v>355</v>
      </c>
      <c r="B357" s="20" t="s">
        <v>424</v>
      </c>
      <c r="C357" s="20" t="s">
        <v>61</v>
      </c>
      <c r="D357">
        <v>1</v>
      </c>
      <c r="E357" s="20" t="s">
        <v>372</v>
      </c>
      <c r="F357" s="20">
        <v>-14.938000000000001</v>
      </c>
      <c r="G357" s="20">
        <v>166.87799999999999</v>
      </c>
      <c r="H357" s="20">
        <v>27.7</v>
      </c>
      <c r="I357" s="20">
        <v>7.0511930241011997</v>
      </c>
      <c r="J357" s="20">
        <v>330</v>
      </c>
      <c r="K357" s="20">
        <v>52</v>
      </c>
      <c r="L357" s="20">
        <v>83</v>
      </c>
      <c r="M357" s="20">
        <v>10.8891039230566</v>
      </c>
      <c r="N357" s="20">
        <v>13</v>
      </c>
      <c r="O357" s="20">
        <v>15</v>
      </c>
      <c r="P357" s="20">
        <v>4</v>
      </c>
      <c r="Q357" s="20">
        <v>4</v>
      </c>
      <c r="R357">
        <v>52</v>
      </c>
      <c r="S357">
        <v>60</v>
      </c>
      <c r="T357">
        <v>20.1973846153846</v>
      </c>
      <c r="U357">
        <v>40</v>
      </c>
      <c r="V357">
        <v>40</v>
      </c>
      <c r="W357">
        <v>39.384900000000002</v>
      </c>
      <c r="X357">
        <v>41.7733663272314</v>
      </c>
      <c r="Y357" s="20" t="s">
        <v>102</v>
      </c>
      <c r="Z357">
        <v>288</v>
      </c>
      <c r="AA357">
        <v>192</v>
      </c>
      <c r="AB357">
        <v>480</v>
      </c>
      <c r="AC357">
        <v>2.8284271247461898</v>
      </c>
      <c r="AD357">
        <v>2.8284271247461898</v>
      </c>
      <c r="AE357">
        <v>2.8284271247461898</v>
      </c>
      <c r="AF357">
        <v>51.999996890103297</v>
      </c>
      <c r="AG357">
        <v>34.264856116354899</v>
      </c>
      <c r="AH357">
        <v>14.096559466713501</v>
      </c>
      <c r="AI357">
        <v>10.4625544379271</v>
      </c>
      <c r="AJ357">
        <v>9.1343286375122599</v>
      </c>
      <c r="AK357">
        <v>8.4657975307679507</v>
      </c>
      <c r="AL357" s="20">
        <v>3.2976799632468898</v>
      </c>
      <c r="AM357" s="20">
        <v>4.29408452874417</v>
      </c>
      <c r="AN357" s="20" t="s">
        <v>373</v>
      </c>
    </row>
    <row r="358" spans="1:40" x14ac:dyDescent="0.25">
      <c r="A358" s="20">
        <v>356</v>
      </c>
      <c r="B358" s="20" t="s">
        <v>425</v>
      </c>
      <c r="C358" s="20" t="s">
        <v>56</v>
      </c>
      <c r="D358">
        <v>1</v>
      </c>
      <c r="E358" s="20" t="s">
        <v>372</v>
      </c>
      <c r="F358" s="20">
        <v>-5.8106999999999998</v>
      </c>
      <c r="G358" s="20">
        <v>-75.238200000000006</v>
      </c>
      <c r="H358" s="20">
        <v>115</v>
      </c>
      <c r="I358" s="20">
        <v>7.97</v>
      </c>
      <c r="J358" s="20">
        <v>349</v>
      </c>
      <c r="K358" s="20">
        <v>52</v>
      </c>
      <c r="L358" s="20">
        <v>268</v>
      </c>
      <c r="M358" s="20">
        <v>61.8</v>
      </c>
      <c r="N358" s="20">
        <v>12</v>
      </c>
      <c r="O358" s="20">
        <v>12</v>
      </c>
      <c r="P358" s="20">
        <v>25</v>
      </c>
      <c r="Q358" s="20">
        <v>15</v>
      </c>
      <c r="R358">
        <v>300</v>
      </c>
      <c r="S358">
        <v>180</v>
      </c>
      <c r="T358">
        <v>32.408888888888903</v>
      </c>
      <c r="U358">
        <v>275</v>
      </c>
      <c r="V358">
        <v>150</v>
      </c>
      <c r="W358">
        <v>42.426181818181803</v>
      </c>
      <c r="X358">
        <v>52.297994591796602</v>
      </c>
      <c r="Y358" s="20" t="s">
        <v>102</v>
      </c>
      <c r="Z358">
        <v>6375</v>
      </c>
      <c r="AA358">
        <v>1875</v>
      </c>
      <c r="AB358">
        <v>8250</v>
      </c>
      <c r="AC358">
        <v>38.242646351945901</v>
      </c>
      <c r="AD358">
        <v>14.577379737113301</v>
      </c>
      <c r="AE358">
        <v>14.577379737113301</v>
      </c>
      <c r="AF358">
        <v>63.735925228978097</v>
      </c>
      <c r="AG358">
        <v>58.176465400750097</v>
      </c>
      <c r="AH358">
        <v>42.197311363569703</v>
      </c>
      <c r="AI358">
        <v>34.874173767785898</v>
      </c>
      <c r="AJ358">
        <v>40.683414746712003</v>
      </c>
      <c r="AK358">
        <v>27.277055636954699</v>
      </c>
      <c r="AL358" s="20">
        <v>9.0947583783188009</v>
      </c>
      <c r="AM358" s="20">
        <v>62.539438067270801</v>
      </c>
      <c r="AN358" s="20" t="s">
        <v>373</v>
      </c>
    </row>
    <row r="359" spans="1:40" x14ac:dyDescent="0.25">
      <c r="A359" s="20">
        <v>357</v>
      </c>
      <c r="B359" s="20" t="s">
        <v>426</v>
      </c>
      <c r="C359" s="20" t="s">
        <v>61</v>
      </c>
      <c r="D359">
        <v>1</v>
      </c>
      <c r="E359" s="20" t="s">
        <v>372</v>
      </c>
      <c r="F359" s="20">
        <v>-30.81</v>
      </c>
      <c r="G359" s="20">
        <v>-178.09</v>
      </c>
      <c r="H359" s="20">
        <v>35</v>
      </c>
      <c r="I359" s="20">
        <v>7.28</v>
      </c>
      <c r="J359" s="20">
        <v>200</v>
      </c>
      <c r="K359" s="20">
        <v>32</v>
      </c>
      <c r="L359" s="20">
        <v>96</v>
      </c>
      <c r="M359" s="20">
        <v>15.12</v>
      </c>
      <c r="N359" s="20">
        <v>15</v>
      </c>
      <c r="O359" s="20">
        <v>15</v>
      </c>
      <c r="P359" s="20">
        <v>5</v>
      </c>
      <c r="Q359" s="20">
        <v>5</v>
      </c>
      <c r="R359">
        <v>75</v>
      </c>
      <c r="S359">
        <v>75</v>
      </c>
      <c r="T359">
        <v>28.927111111111099</v>
      </c>
      <c r="U359">
        <v>35</v>
      </c>
      <c r="V359">
        <v>35</v>
      </c>
      <c r="W359">
        <v>132.828571428571</v>
      </c>
      <c r="X359">
        <v>120.205748026702</v>
      </c>
      <c r="Y359" s="20" t="s">
        <v>102</v>
      </c>
      <c r="Z359">
        <v>300</v>
      </c>
      <c r="AA359">
        <v>200</v>
      </c>
      <c r="AB359">
        <v>500</v>
      </c>
      <c r="AC359">
        <v>12.747548783981999</v>
      </c>
      <c r="AD359">
        <v>3.53553390593274</v>
      </c>
      <c r="AE359">
        <v>3.53553390593274</v>
      </c>
      <c r="AF359">
        <v>31.634489073627801</v>
      </c>
      <c r="AG359">
        <v>39.082747195475598</v>
      </c>
      <c r="AH359">
        <v>10.816614623245499</v>
      </c>
      <c r="AI359">
        <v>12.1562822007189</v>
      </c>
      <c r="AJ359">
        <v>10.085009631879201</v>
      </c>
      <c r="AK359">
        <v>10.3734081365685</v>
      </c>
      <c r="AL359" s="20">
        <v>11.2863226504473</v>
      </c>
      <c r="AM359" s="20">
        <v>11.5845921671848</v>
      </c>
      <c r="AN359" s="20" t="s">
        <v>373</v>
      </c>
    </row>
    <row r="360" spans="1:40" x14ac:dyDescent="0.25">
      <c r="A360" s="20">
        <v>358</v>
      </c>
      <c r="B360" s="20" t="s">
        <v>427</v>
      </c>
      <c r="C360" s="20" t="s">
        <v>61</v>
      </c>
      <c r="D360">
        <v>1</v>
      </c>
      <c r="E360" s="20" t="s">
        <v>372</v>
      </c>
      <c r="F360" s="20">
        <v>1.5888</v>
      </c>
      <c r="G360" s="20">
        <v>126.4164</v>
      </c>
      <c r="H360" s="20">
        <v>45</v>
      </c>
      <c r="I360" s="20">
        <v>7.03</v>
      </c>
      <c r="J360" s="20">
        <v>25</v>
      </c>
      <c r="K360" s="20">
        <v>42</v>
      </c>
      <c r="L360" s="20">
        <v>76</v>
      </c>
      <c r="M360" s="20">
        <v>34.96</v>
      </c>
      <c r="N360" s="20">
        <v>17</v>
      </c>
      <c r="O360" s="20">
        <v>17</v>
      </c>
      <c r="P360" s="20">
        <v>3</v>
      </c>
      <c r="Q360" s="20">
        <v>2</v>
      </c>
      <c r="R360">
        <v>51</v>
      </c>
      <c r="S360">
        <v>34</v>
      </c>
      <c r="T360">
        <v>39.940484429065798</v>
      </c>
      <c r="U360">
        <v>24</v>
      </c>
      <c r="V360">
        <v>20</v>
      </c>
      <c r="W360">
        <v>144.285</v>
      </c>
      <c r="X360">
        <v>138.00241032353799</v>
      </c>
      <c r="Y360" s="20" t="s">
        <v>102</v>
      </c>
      <c r="Z360">
        <v>102</v>
      </c>
      <c r="AA360">
        <v>54</v>
      </c>
      <c r="AB360">
        <v>156</v>
      </c>
      <c r="AC360">
        <v>10.2591422643416</v>
      </c>
      <c r="AD360">
        <v>1.8027756377319899</v>
      </c>
      <c r="AE360">
        <v>1.8027756377319899</v>
      </c>
      <c r="AF360">
        <v>26.345210781351501</v>
      </c>
      <c r="AG360">
        <v>20.9405628676326</v>
      </c>
      <c r="AH360">
        <v>7.9930828900001103</v>
      </c>
      <c r="AI360">
        <v>5.8345016313650504</v>
      </c>
      <c r="AJ360">
        <v>6.3725424413731497</v>
      </c>
      <c r="AK360">
        <v>4.3615923776550298</v>
      </c>
      <c r="AL360" s="20">
        <v>3.5068918004409602</v>
      </c>
      <c r="AM360" s="20">
        <v>4.2007066500768602</v>
      </c>
      <c r="AN360" s="20" t="s">
        <v>373</v>
      </c>
    </row>
    <row r="361" spans="1:40" x14ac:dyDescent="0.25">
      <c r="A361" s="20">
        <v>359</v>
      </c>
      <c r="B361" s="20" t="s">
        <v>428</v>
      </c>
      <c r="C361" s="20" t="s">
        <v>56</v>
      </c>
      <c r="D361">
        <v>0</v>
      </c>
      <c r="E361" s="20" t="s">
        <v>372</v>
      </c>
      <c r="F361" s="20">
        <v>38.33</v>
      </c>
      <c r="G361" s="20">
        <v>39.08</v>
      </c>
      <c r="H361" s="20">
        <v>10</v>
      </c>
      <c r="I361" s="20">
        <v>6.76</v>
      </c>
      <c r="J361" s="20">
        <v>246</v>
      </c>
      <c r="K361" s="20">
        <v>67</v>
      </c>
      <c r="L361" s="20">
        <v>351</v>
      </c>
      <c r="M361" s="20">
        <v>0.01</v>
      </c>
      <c r="N361" s="20">
        <v>21</v>
      </c>
      <c r="O361" s="20">
        <v>7</v>
      </c>
      <c r="P361" s="20">
        <v>6</v>
      </c>
      <c r="Q361" s="20">
        <v>3.1</v>
      </c>
      <c r="R361">
        <v>126</v>
      </c>
      <c r="S361">
        <v>21.7</v>
      </c>
      <c r="T361">
        <v>21.363401360544199</v>
      </c>
      <c r="U361">
        <v>72</v>
      </c>
      <c r="V361">
        <v>21.7</v>
      </c>
      <c r="W361">
        <v>37.385952380952403</v>
      </c>
      <c r="X361">
        <v>47.211303637603898</v>
      </c>
      <c r="Y361" s="20" t="s">
        <v>102</v>
      </c>
      <c r="Z361">
        <v>241.8</v>
      </c>
      <c r="AA361">
        <v>130.19999999999999</v>
      </c>
      <c r="AB361">
        <v>372</v>
      </c>
      <c r="AC361">
        <v>14.0968968216413</v>
      </c>
      <c r="AD361">
        <v>3.37675880098061</v>
      </c>
      <c r="AE361">
        <v>8.3103850692973307</v>
      </c>
      <c r="AF361">
        <v>24.380261618926099</v>
      </c>
      <c r="AG361">
        <v>7.2973037156095497</v>
      </c>
      <c r="AH361">
        <v>11.2938792420547</v>
      </c>
      <c r="AI361">
        <v>4.2577887254248701</v>
      </c>
      <c r="AJ361">
        <v>10.728554539736299</v>
      </c>
      <c r="AK361">
        <v>5.2267202797482399</v>
      </c>
      <c r="AL361" s="20">
        <v>18.978569609430501</v>
      </c>
      <c r="AM361" s="20">
        <v>22.692118882995501</v>
      </c>
      <c r="AN361" s="20" t="s">
        <v>373</v>
      </c>
    </row>
    <row r="362" spans="1:40" x14ac:dyDescent="0.25">
      <c r="A362" s="20">
        <v>360</v>
      </c>
      <c r="B362" s="20" t="s">
        <v>429</v>
      </c>
      <c r="C362" s="20" t="s">
        <v>56</v>
      </c>
      <c r="D362">
        <v>1</v>
      </c>
      <c r="E362" s="20" t="s">
        <v>372</v>
      </c>
      <c r="F362" s="20">
        <v>19.440000000000001</v>
      </c>
      <c r="G362" s="20">
        <v>-78.754999999999995</v>
      </c>
      <c r="H362" s="20">
        <v>10</v>
      </c>
      <c r="I362" s="20">
        <v>7.73</v>
      </c>
      <c r="J362" s="20">
        <v>258</v>
      </c>
      <c r="K362" s="20">
        <v>88</v>
      </c>
      <c r="L362" s="20">
        <v>338</v>
      </c>
      <c r="M362" s="20">
        <v>3.65</v>
      </c>
      <c r="N362" s="20">
        <v>43</v>
      </c>
      <c r="O362" s="20">
        <v>9</v>
      </c>
      <c r="P362" s="20">
        <v>5.6</v>
      </c>
      <c r="Q362" s="20">
        <v>2.54</v>
      </c>
      <c r="R362">
        <v>240.8</v>
      </c>
      <c r="S362">
        <v>22.86</v>
      </c>
      <c r="T362">
        <v>252.475813953488</v>
      </c>
      <c r="U362">
        <v>151.19999999999999</v>
      </c>
      <c r="V362">
        <v>17.78</v>
      </c>
      <c r="W362">
        <v>516.974285714286</v>
      </c>
      <c r="X362">
        <v>650.41324426631695</v>
      </c>
      <c r="Y362" s="20" t="s">
        <v>102</v>
      </c>
      <c r="Z362">
        <v>341.37599999999998</v>
      </c>
      <c r="AA362">
        <v>184.91200000000001</v>
      </c>
      <c r="AB362">
        <v>526.28800000000001</v>
      </c>
      <c r="AC362">
        <v>44.262409559354097</v>
      </c>
      <c r="AD362">
        <v>36.422148481384198</v>
      </c>
      <c r="AE362">
        <v>53.215156675518699</v>
      </c>
      <c r="AF362">
        <v>54.915338569463103</v>
      </c>
      <c r="AG362">
        <v>11.3301859691066</v>
      </c>
      <c r="AH362">
        <v>17.480180874965701</v>
      </c>
      <c r="AI362">
        <v>5.3398249065225301</v>
      </c>
      <c r="AJ362">
        <v>11.779550997176599</v>
      </c>
      <c r="AK362">
        <v>4.9593524241847398</v>
      </c>
      <c r="AL362" s="20">
        <v>68.779533901299402</v>
      </c>
      <c r="AM362" s="20">
        <v>66.222871881322106</v>
      </c>
      <c r="AN362" s="20" t="s">
        <v>373</v>
      </c>
    </row>
    <row r="363" spans="1:40" x14ac:dyDescent="0.25">
      <c r="A363" s="20">
        <v>361</v>
      </c>
      <c r="B363" s="20" t="s">
        <v>430</v>
      </c>
      <c r="C363" s="20" t="s">
        <v>56</v>
      </c>
      <c r="D363">
        <v>1</v>
      </c>
      <c r="E363" s="20" t="s">
        <v>372</v>
      </c>
      <c r="F363" s="20">
        <v>15.932</v>
      </c>
      <c r="G363" s="20">
        <v>-95.936999999999998</v>
      </c>
      <c r="H363" s="20">
        <v>20</v>
      </c>
      <c r="I363" s="20">
        <v>7.27</v>
      </c>
      <c r="J363" s="20">
        <v>272</v>
      </c>
      <c r="K363" s="20">
        <v>23</v>
      </c>
      <c r="L363" s="20">
        <v>58</v>
      </c>
      <c r="M363" s="20">
        <v>11.2</v>
      </c>
      <c r="N363" s="20">
        <v>16</v>
      </c>
      <c r="O363" s="20">
        <v>16</v>
      </c>
      <c r="P363" s="20">
        <v>3</v>
      </c>
      <c r="Q363" s="20">
        <v>3</v>
      </c>
      <c r="R363">
        <v>48</v>
      </c>
      <c r="S363">
        <v>48</v>
      </c>
      <c r="T363">
        <v>108.32746093750001</v>
      </c>
      <c r="U363">
        <v>30</v>
      </c>
      <c r="V363">
        <v>30</v>
      </c>
      <c r="W363">
        <v>277.31830000000002</v>
      </c>
      <c r="X363">
        <v>230.53012153939301</v>
      </c>
      <c r="Y363" s="20" t="s">
        <v>102</v>
      </c>
      <c r="Z363">
        <v>225</v>
      </c>
      <c r="AA363">
        <v>135</v>
      </c>
      <c r="AB363">
        <v>360</v>
      </c>
      <c r="AC363">
        <v>4.74341649025257</v>
      </c>
      <c r="AD363">
        <v>2.1213203435596402</v>
      </c>
      <c r="AE363">
        <v>2.1213203435596402</v>
      </c>
      <c r="AF363">
        <v>31.116348493843699</v>
      </c>
      <c r="AG363">
        <v>29.697590595874701</v>
      </c>
      <c r="AH363">
        <v>9.8150955406456699</v>
      </c>
      <c r="AI363">
        <v>9.5941396616078798</v>
      </c>
      <c r="AJ363">
        <v>6.3712581755914197</v>
      </c>
      <c r="AK363">
        <v>6.3701442743774903</v>
      </c>
      <c r="AL363" s="20">
        <v>2.3379833040464599</v>
      </c>
      <c r="AM363" s="20">
        <v>2.4429562276062202</v>
      </c>
      <c r="AN363" s="20" t="s">
        <v>373</v>
      </c>
    </row>
    <row r="364" spans="1:40" x14ac:dyDescent="0.25">
      <c r="A364" s="20">
        <v>362</v>
      </c>
      <c r="B364" s="20" t="s">
        <v>431</v>
      </c>
      <c r="C364" s="20" t="s">
        <v>63</v>
      </c>
      <c r="D364">
        <v>0</v>
      </c>
      <c r="E364" s="20" t="s">
        <v>372</v>
      </c>
      <c r="F364" s="20">
        <v>54.661999999999999</v>
      </c>
      <c r="G364" s="20">
        <v>-159.67519999999999</v>
      </c>
      <c r="H364" s="20">
        <v>40.1</v>
      </c>
      <c r="I364" s="20">
        <v>7.56</v>
      </c>
      <c r="J364" s="20">
        <v>346</v>
      </c>
      <c r="K364" s="20">
        <v>56</v>
      </c>
      <c r="L364" s="20">
        <v>172</v>
      </c>
      <c r="M364" s="20">
        <v>2.79</v>
      </c>
      <c r="N364" s="20">
        <v>22</v>
      </c>
      <c r="O364" s="20">
        <v>13</v>
      </c>
      <c r="P364" s="20">
        <v>6</v>
      </c>
      <c r="Q364" s="20">
        <v>6</v>
      </c>
      <c r="R364">
        <v>132</v>
      </c>
      <c r="S364">
        <v>78</v>
      </c>
      <c r="T364">
        <v>59.047972027972001</v>
      </c>
      <c r="U364">
        <v>132</v>
      </c>
      <c r="V364">
        <v>66</v>
      </c>
      <c r="W364">
        <v>69.783966942148794</v>
      </c>
      <c r="X364">
        <v>85.403893911625701</v>
      </c>
      <c r="Y364" s="20" t="s">
        <v>102</v>
      </c>
      <c r="Z364">
        <v>1404</v>
      </c>
      <c r="AA364">
        <v>612</v>
      </c>
      <c r="AB364">
        <v>2016</v>
      </c>
      <c r="AC364">
        <v>30.886890422960999</v>
      </c>
      <c r="AD364">
        <v>4.2426406871192901</v>
      </c>
      <c r="AE364">
        <v>25.806975801127901</v>
      </c>
      <c r="AF364">
        <v>35.354801409735202</v>
      </c>
      <c r="AG364">
        <v>38.048425578963503</v>
      </c>
      <c r="AH364">
        <v>16.445028024441601</v>
      </c>
      <c r="AI364">
        <v>17.317677903943199</v>
      </c>
      <c r="AJ364">
        <v>11.626434703326799</v>
      </c>
      <c r="AK364">
        <v>11.835004036733499</v>
      </c>
      <c r="AL364" s="20">
        <v>36.032000217861899</v>
      </c>
      <c r="AM364" s="20">
        <v>35.8626717869709</v>
      </c>
      <c r="AN364" s="20" t="s">
        <v>373</v>
      </c>
    </row>
    <row r="365" spans="1:40" x14ac:dyDescent="0.25">
      <c r="A365" s="20">
        <v>363</v>
      </c>
      <c r="B365" s="20" t="s">
        <v>432</v>
      </c>
      <c r="C365" s="20" t="s">
        <v>56</v>
      </c>
      <c r="D365">
        <v>0</v>
      </c>
      <c r="E365" s="20" t="s">
        <v>372</v>
      </c>
      <c r="F365" s="20">
        <v>51.240699999999997</v>
      </c>
      <c r="G365" s="20">
        <v>100.44280000000001</v>
      </c>
      <c r="H365" s="20">
        <v>12</v>
      </c>
      <c r="I365" s="20">
        <v>6.69</v>
      </c>
      <c r="J365" s="20">
        <v>236</v>
      </c>
      <c r="K365" s="20">
        <v>49</v>
      </c>
      <c r="L365" s="20">
        <v>306</v>
      </c>
      <c r="M365" s="20">
        <v>1.62</v>
      </c>
      <c r="N365" s="20">
        <v>16</v>
      </c>
      <c r="O365" s="20">
        <v>13</v>
      </c>
      <c r="P365" s="20">
        <v>2.5</v>
      </c>
      <c r="Q365" s="20">
        <v>2.5</v>
      </c>
      <c r="R365">
        <v>40</v>
      </c>
      <c r="S365">
        <v>32.5</v>
      </c>
      <c r="T365">
        <v>30.253605769230798</v>
      </c>
      <c r="U365">
        <v>27.5</v>
      </c>
      <c r="V365">
        <v>22.5</v>
      </c>
      <c r="W365">
        <v>63.563131313131301</v>
      </c>
      <c r="X365">
        <v>58.7644984107596</v>
      </c>
      <c r="Y365" s="20" t="s">
        <v>102</v>
      </c>
      <c r="Z365">
        <v>131.25</v>
      </c>
      <c r="AA365">
        <v>118.75</v>
      </c>
      <c r="AB365">
        <v>250</v>
      </c>
      <c r="AC365">
        <v>11.8585412256314</v>
      </c>
      <c r="AD365">
        <v>1.76776695296637</v>
      </c>
      <c r="AE365">
        <v>1.76776695296637</v>
      </c>
      <c r="AF365">
        <v>24.9469173719332</v>
      </c>
      <c r="AG365">
        <v>13.862310626973899</v>
      </c>
      <c r="AH365">
        <v>6.8870540480354903</v>
      </c>
      <c r="AI365">
        <v>5.2909410911719501</v>
      </c>
      <c r="AJ365">
        <v>5.3163245426660897</v>
      </c>
      <c r="AK365">
        <v>5.0637943116440303</v>
      </c>
      <c r="AL365" s="20">
        <v>5.82890325618808</v>
      </c>
      <c r="AM365" s="20">
        <v>5.6386261677823599</v>
      </c>
      <c r="AN365" s="20" t="s">
        <v>373</v>
      </c>
    </row>
    <row r="366" spans="1:40" x14ac:dyDescent="0.25">
      <c r="A366" s="20">
        <v>364</v>
      </c>
      <c r="B366" s="20" t="s">
        <v>433</v>
      </c>
      <c r="C366" s="20" t="s">
        <v>61</v>
      </c>
      <c r="D366">
        <v>1</v>
      </c>
      <c r="E366" s="20" t="s">
        <v>372</v>
      </c>
      <c r="F366" s="20">
        <v>-23.053999999999998</v>
      </c>
      <c r="G366" s="20">
        <v>171.601</v>
      </c>
      <c r="H366" s="20">
        <v>12</v>
      </c>
      <c r="I366" s="20">
        <v>7.68</v>
      </c>
      <c r="J366" s="20">
        <v>264</v>
      </c>
      <c r="K366" s="20">
        <v>19</v>
      </c>
      <c r="L366" s="20">
        <v>65</v>
      </c>
      <c r="M366" s="20">
        <v>1.41</v>
      </c>
      <c r="N366" s="20">
        <v>31</v>
      </c>
      <c r="O366" s="20">
        <v>20</v>
      </c>
      <c r="P366" s="20">
        <v>5</v>
      </c>
      <c r="Q366" s="20">
        <v>5</v>
      </c>
      <c r="R366">
        <v>155</v>
      </c>
      <c r="S366">
        <v>100</v>
      </c>
      <c r="T366">
        <v>68.503209677419306</v>
      </c>
      <c r="U366">
        <v>95</v>
      </c>
      <c r="V366">
        <v>70</v>
      </c>
      <c r="W366">
        <v>159.669135338346</v>
      </c>
      <c r="X366">
        <v>186.52728178091101</v>
      </c>
      <c r="Y366" s="20" t="s">
        <v>102</v>
      </c>
      <c r="Z366">
        <v>1000</v>
      </c>
      <c r="AA366">
        <v>550</v>
      </c>
      <c r="AB366">
        <v>1550</v>
      </c>
      <c r="AC366">
        <v>48.088460154178399</v>
      </c>
      <c r="AD366">
        <v>10.606601717798201</v>
      </c>
      <c r="AE366">
        <v>17.677669529663699</v>
      </c>
      <c r="AF366">
        <v>45.4401322757194</v>
      </c>
      <c r="AG366">
        <v>28.433950973048201</v>
      </c>
      <c r="AH366">
        <v>23.572789530472502</v>
      </c>
      <c r="AI366">
        <v>16.794916804256999</v>
      </c>
      <c r="AJ366">
        <v>10.404668863338101</v>
      </c>
      <c r="AK366">
        <v>9.6894116901250307</v>
      </c>
      <c r="AL366" s="20">
        <v>30.602795689282999</v>
      </c>
      <c r="AM366" s="20">
        <v>30.2942708809768</v>
      </c>
      <c r="AN366" s="20" t="s">
        <v>373</v>
      </c>
    </row>
    <row r="367" spans="1:40" x14ac:dyDescent="0.25">
      <c r="A367" s="20">
        <v>365</v>
      </c>
      <c r="B367" s="20" t="s">
        <v>434</v>
      </c>
      <c r="C367" s="20" t="s">
        <v>61</v>
      </c>
      <c r="D367">
        <v>1</v>
      </c>
      <c r="E367" s="20" t="s">
        <v>372</v>
      </c>
      <c r="F367" s="20">
        <v>37.753999999999998</v>
      </c>
      <c r="G367" s="20">
        <v>141.72300000000001</v>
      </c>
      <c r="H367" s="20">
        <v>50.6</v>
      </c>
      <c r="I367" s="20">
        <v>7.07</v>
      </c>
      <c r="J367" s="20">
        <v>193</v>
      </c>
      <c r="K367" s="20">
        <v>52</v>
      </c>
      <c r="L367" s="20">
        <v>78</v>
      </c>
      <c r="M367" s="20">
        <v>21.04</v>
      </c>
      <c r="N367" s="20">
        <v>22</v>
      </c>
      <c r="O367" s="20">
        <v>18</v>
      </c>
      <c r="P367" s="20">
        <v>3</v>
      </c>
      <c r="Q367" s="20">
        <v>3</v>
      </c>
      <c r="R367">
        <v>66</v>
      </c>
      <c r="S367">
        <v>54</v>
      </c>
      <c r="T367">
        <v>22.2157575757576</v>
      </c>
      <c r="U367">
        <v>60</v>
      </c>
      <c r="V367">
        <v>48</v>
      </c>
      <c r="W367">
        <v>27.492000000000001</v>
      </c>
      <c r="X367">
        <v>36.780076405216803</v>
      </c>
      <c r="Y367" s="20" t="s">
        <v>102</v>
      </c>
      <c r="Z367">
        <v>414</v>
      </c>
      <c r="AA367">
        <v>72</v>
      </c>
      <c r="AB367">
        <v>486</v>
      </c>
      <c r="AC367">
        <v>22.945587811167499</v>
      </c>
      <c r="AD367">
        <v>10.606601717798201</v>
      </c>
      <c r="AE367">
        <v>13.583077707206099</v>
      </c>
      <c r="AF367">
        <v>20.129599473019201</v>
      </c>
      <c r="AG367">
        <v>20.309312730337599</v>
      </c>
      <c r="AH367">
        <v>7.7359617133223297</v>
      </c>
      <c r="AI367">
        <v>7.7628231102399603</v>
      </c>
      <c r="AJ367">
        <v>5.9863091167744198</v>
      </c>
      <c r="AK367">
        <v>6.0096509233178201</v>
      </c>
      <c r="AL367" s="20">
        <v>18.405480510978201</v>
      </c>
      <c r="AM367" s="20">
        <v>20.1738398377701</v>
      </c>
      <c r="AN367" s="20" t="s">
        <v>373</v>
      </c>
    </row>
    <row r="368" spans="1:40" x14ac:dyDescent="0.25">
      <c r="A368" s="20">
        <v>366</v>
      </c>
      <c r="B368" s="20" t="s">
        <v>435</v>
      </c>
      <c r="C368" s="20" t="s">
        <v>56</v>
      </c>
      <c r="D368">
        <v>1</v>
      </c>
      <c r="E368" s="20" t="s">
        <v>372</v>
      </c>
      <c r="F368" s="20">
        <v>-6.9767000000000001</v>
      </c>
      <c r="G368" s="20">
        <v>146.44</v>
      </c>
      <c r="H368" s="20">
        <v>127</v>
      </c>
      <c r="I368" s="20">
        <v>7.15</v>
      </c>
      <c r="J368" s="20">
        <v>105</v>
      </c>
      <c r="K368" s="20">
        <v>65</v>
      </c>
      <c r="L368" s="20">
        <v>273</v>
      </c>
      <c r="M368" s="20">
        <v>96.41</v>
      </c>
      <c r="N368" s="20">
        <v>15</v>
      </c>
      <c r="O368" s="20">
        <v>15</v>
      </c>
      <c r="P368" s="20">
        <v>5</v>
      </c>
      <c r="Q368" s="20">
        <v>4.5</v>
      </c>
      <c r="R368">
        <v>75</v>
      </c>
      <c r="S368">
        <v>67.5</v>
      </c>
      <c r="T368">
        <v>20.364355555555601</v>
      </c>
      <c r="U368">
        <v>45</v>
      </c>
      <c r="V368">
        <v>36</v>
      </c>
      <c r="W368">
        <v>63.638611111111103</v>
      </c>
      <c r="X368">
        <v>61.842260526648097</v>
      </c>
      <c r="Y368" s="20" t="s">
        <v>102</v>
      </c>
      <c r="Z368">
        <v>405</v>
      </c>
      <c r="AA368">
        <v>157.5</v>
      </c>
      <c r="AB368">
        <v>562.5</v>
      </c>
      <c r="AC368">
        <v>12.700885795880501</v>
      </c>
      <c r="AD368">
        <v>3.3634060117684301</v>
      </c>
      <c r="AE368">
        <v>3.3634060117684301</v>
      </c>
      <c r="AF368">
        <v>23.938525658470699</v>
      </c>
      <c r="AG368">
        <v>30.026556938409399</v>
      </c>
      <c r="AH368">
        <v>9.1660114560260997</v>
      </c>
      <c r="AI368">
        <v>9.8016517319638901</v>
      </c>
      <c r="AJ368">
        <v>9.5958395062739203</v>
      </c>
      <c r="AK368">
        <v>9.2298062339276807</v>
      </c>
      <c r="AL368" s="20">
        <v>9.4902702385127107</v>
      </c>
      <c r="AM368" s="20">
        <v>8.0178733564455893</v>
      </c>
      <c r="AN368" s="20" t="s">
        <v>373</v>
      </c>
    </row>
    <row r="369" spans="1:40" x14ac:dyDescent="0.25">
      <c r="A369" s="20">
        <v>367</v>
      </c>
      <c r="B369" s="20" t="s">
        <v>436</v>
      </c>
      <c r="C369" s="20" t="s">
        <v>63</v>
      </c>
      <c r="D369">
        <v>1</v>
      </c>
      <c r="E369" s="20" t="s">
        <v>372</v>
      </c>
      <c r="F369" s="20">
        <v>-4.0810000000000004</v>
      </c>
      <c r="G369" s="20">
        <v>152.56899999999999</v>
      </c>
      <c r="H369" s="20">
        <v>10</v>
      </c>
      <c r="I369" s="20">
        <v>7.55</v>
      </c>
      <c r="J369" s="20">
        <v>319</v>
      </c>
      <c r="K369" s="20">
        <v>80</v>
      </c>
      <c r="L369" s="20">
        <v>10</v>
      </c>
      <c r="M369" s="20">
        <v>3.84</v>
      </c>
      <c r="N369" s="20">
        <v>19</v>
      </c>
      <c r="O369" s="20">
        <v>8</v>
      </c>
      <c r="P369" s="20">
        <v>5</v>
      </c>
      <c r="Q369" s="20">
        <v>2.5</v>
      </c>
      <c r="R369">
        <v>95</v>
      </c>
      <c r="S369">
        <v>20</v>
      </c>
      <c r="T369">
        <v>419.559342105263</v>
      </c>
      <c r="U369">
        <v>70</v>
      </c>
      <c r="V369">
        <v>17.5</v>
      </c>
      <c r="W369">
        <v>650.74510204081605</v>
      </c>
      <c r="X369">
        <v>861.09871190745298</v>
      </c>
      <c r="Y369" s="20" t="s">
        <v>102</v>
      </c>
      <c r="Z369">
        <v>162.5</v>
      </c>
      <c r="AA369">
        <v>100</v>
      </c>
      <c r="AB369">
        <v>262.5</v>
      </c>
      <c r="AC369">
        <v>30.7459346906221</v>
      </c>
      <c r="AD369">
        <v>2.7950849718747399</v>
      </c>
      <c r="AE369">
        <v>2.7950849718747399</v>
      </c>
      <c r="AF369">
        <v>35.344631143509098</v>
      </c>
      <c r="AG369">
        <v>8.9383401957967106</v>
      </c>
      <c r="AH369">
        <v>10.9677965727405</v>
      </c>
      <c r="AI369">
        <v>4.0929220045671899</v>
      </c>
      <c r="AJ369">
        <v>10.070766553077901</v>
      </c>
      <c r="AK369">
        <v>4.75254181899016</v>
      </c>
      <c r="AL369" s="20">
        <v>2.9511739376051702</v>
      </c>
      <c r="AM369" s="20">
        <v>7.7458766456741301</v>
      </c>
      <c r="AN369" s="20" t="s">
        <v>373</v>
      </c>
    </row>
    <row r="370" spans="1:40" x14ac:dyDescent="0.25">
      <c r="A370" s="20">
        <v>368</v>
      </c>
      <c r="B370" s="20" t="s">
        <v>437</v>
      </c>
      <c r="C370" s="20" t="s">
        <v>56</v>
      </c>
      <c r="D370">
        <v>0</v>
      </c>
      <c r="E370" s="20" t="s">
        <v>372</v>
      </c>
      <c r="F370" s="20">
        <v>35.766500000000001</v>
      </c>
      <c r="G370" s="20">
        <v>-117.6048</v>
      </c>
      <c r="H370" s="20">
        <v>10</v>
      </c>
      <c r="I370" s="20">
        <v>7</v>
      </c>
      <c r="J370" s="20">
        <v>139</v>
      </c>
      <c r="K370" s="20">
        <v>85</v>
      </c>
      <c r="L370" s="20">
        <v>181</v>
      </c>
      <c r="M370" s="20">
        <v>0</v>
      </c>
      <c r="N370" s="20">
        <v>28</v>
      </c>
      <c r="O370" s="20">
        <v>12</v>
      </c>
      <c r="P370" s="20">
        <v>5</v>
      </c>
      <c r="Q370" s="20">
        <v>2.23</v>
      </c>
      <c r="R370">
        <v>140</v>
      </c>
      <c r="S370">
        <v>26.76</v>
      </c>
      <c r="T370">
        <v>33.780595238095202</v>
      </c>
      <c r="U370">
        <v>110</v>
      </c>
      <c r="V370">
        <v>26.76</v>
      </c>
      <c r="W370">
        <v>42.993484848484897</v>
      </c>
      <c r="X370">
        <v>66.425973392145707</v>
      </c>
      <c r="Y370" s="20" t="s">
        <v>102</v>
      </c>
      <c r="Z370">
        <v>367.95</v>
      </c>
      <c r="AA370">
        <v>200.7</v>
      </c>
      <c r="AB370">
        <v>568.65</v>
      </c>
      <c r="AC370">
        <v>75.531809358706596</v>
      </c>
      <c r="AD370">
        <v>2.7373755679482499</v>
      </c>
      <c r="AE370">
        <v>4.17600586685412</v>
      </c>
      <c r="AF370">
        <v>44.300659917108</v>
      </c>
      <c r="AG370">
        <v>10.675126761977999</v>
      </c>
      <c r="AH370">
        <v>15.891487277590199</v>
      </c>
      <c r="AI370">
        <v>5.0882468296483703</v>
      </c>
      <c r="AJ370">
        <v>10.290179053369499</v>
      </c>
      <c r="AK370">
        <v>4.3347937077628398</v>
      </c>
      <c r="AL370" s="20">
        <v>8.2388872270471101</v>
      </c>
      <c r="AM370" s="20">
        <v>6.1702491918884501</v>
      </c>
      <c r="AN370" s="20" t="s">
        <v>373</v>
      </c>
    </row>
    <row r="371" spans="1:40" x14ac:dyDescent="0.25">
      <c r="A371" s="20">
        <v>369</v>
      </c>
      <c r="B371" s="20" t="s">
        <v>438</v>
      </c>
      <c r="C371" s="20" t="s">
        <v>56</v>
      </c>
      <c r="D371">
        <v>1</v>
      </c>
      <c r="E371" s="20" t="s">
        <v>372</v>
      </c>
      <c r="F371" s="20">
        <v>-0.52900000000000003</v>
      </c>
      <c r="G371" s="20">
        <v>128.09309999999999</v>
      </c>
      <c r="H371" s="20">
        <v>12</v>
      </c>
      <c r="I371" s="20">
        <v>7.13</v>
      </c>
      <c r="J371" s="20">
        <v>124</v>
      </c>
      <c r="K371" s="20">
        <v>79</v>
      </c>
      <c r="L371" s="20">
        <v>362</v>
      </c>
      <c r="M371" s="20">
        <v>-0.02</v>
      </c>
      <c r="N371" s="20">
        <v>23</v>
      </c>
      <c r="O371" s="20">
        <v>7</v>
      </c>
      <c r="P371" s="20">
        <v>5</v>
      </c>
      <c r="Q371" s="20">
        <v>3.5</v>
      </c>
      <c r="R371">
        <v>115</v>
      </c>
      <c r="S371">
        <v>24.5</v>
      </c>
      <c r="T371">
        <v>68.961863354037305</v>
      </c>
      <c r="U371">
        <v>85</v>
      </c>
      <c r="V371">
        <v>24.5</v>
      </c>
      <c r="W371">
        <v>93.301344537815098</v>
      </c>
      <c r="X371">
        <v>91.284814846963201</v>
      </c>
      <c r="Y371" s="20" t="s">
        <v>102</v>
      </c>
      <c r="Z371">
        <v>525</v>
      </c>
      <c r="AA371">
        <v>280</v>
      </c>
      <c r="AB371">
        <v>805</v>
      </c>
      <c r="AC371">
        <v>15.947178433817101</v>
      </c>
      <c r="AD371">
        <v>3.05163890393343</v>
      </c>
      <c r="AE371">
        <v>7.7014609003746797</v>
      </c>
      <c r="AF371">
        <v>38.601105713418001</v>
      </c>
      <c r="AG371">
        <v>17.955717426709398</v>
      </c>
      <c r="AH371">
        <v>20.228486499007801</v>
      </c>
      <c r="AI371">
        <v>10.7446092460078</v>
      </c>
      <c r="AJ371">
        <v>9.9377615731359104</v>
      </c>
      <c r="AK371">
        <v>6.82622396415882</v>
      </c>
      <c r="AL371" s="20">
        <v>27.731065647212301</v>
      </c>
      <c r="AM371" s="20">
        <v>25.149593731311001</v>
      </c>
      <c r="AN371" s="20" t="s">
        <v>373</v>
      </c>
    </row>
    <row r="372" spans="1:40" x14ac:dyDescent="0.25">
      <c r="A372" s="20">
        <v>370</v>
      </c>
      <c r="B372" s="20" t="s">
        <v>439</v>
      </c>
      <c r="C372" s="20" t="s">
        <v>56</v>
      </c>
      <c r="D372">
        <v>0</v>
      </c>
      <c r="E372" s="20" t="s">
        <v>372</v>
      </c>
      <c r="F372" s="20">
        <v>45.667900000000003</v>
      </c>
      <c r="G372" s="20">
        <v>148.8931</v>
      </c>
      <c r="H372" s="20">
        <v>143</v>
      </c>
      <c r="I372" s="20">
        <v>6.95</v>
      </c>
      <c r="J372" s="20">
        <v>239</v>
      </c>
      <c r="K372" s="20">
        <v>81</v>
      </c>
      <c r="L372" s="20">
        <v>264</v>
      </c>
      <c r="M372" s="20">
        <v>124.48</v>
      </c>
      <c r="N372" s="20">
        <v>11</v>
      </c>
      <c r="O372" s="20">
        <v>15</v>
      </c>
      <c r="P372" s="20">
        <v>5</v>
      </c>
      <c r="Q372" s="20">
        <v>2.5</v>
      </c>
      <c r="R372">
        <v>55</v>
      </c>
      <c r="S372">
        <v>37.5</v>
      </c>
      <c r="T372">
        <v>24.841878787878802</v>
      </c>
      <c r="U372">
        <v>30</v>
      </c>
      <c r="V372">
        <v>20</v>
      </c>
      <c r="W372">
        <v>85.393958333333302</v>
      </c>
      <c r="X372">
        <v>83.821308632325596</v>
      </c>
      <c r="Y372" s="20" t="s">
        <v>102</v>
      </c>
      <c r="Z372">
        <v>175</v>
      </c>
      <c r="AA372">
        <v>75</v>
      </c>
      <c r="AB372">
        <v>250</v>
      </c>
      <c r="AC372">
        <v>13.050383136138199</v>
      </c>
      <c r="AD372">
        <v>2.7950849718747399</v>
      </c>
      <c r="AE372">
        <v>4.5069390943299901</v>
      </c>
      <c r="AF372">
        <v>21.752349899301301</v>
      </c>
      <c r="AG372">
        <v>18.7193699834685</v>
      </c>
      <c r="AH372">
        <v>8.9257740422820699</v>
      </c>
      <c r="AI372">
        <v>5.8315796345678503</v>
      </c>
      <c r="AJ372">
        <v>9.8122146488411399</v>
      </c>
      <c r="AK372">
        <v>5.15853663705568</v>
      </c>
      <c r="AL372" s="20">
        <v>7.88253972524085</v>
      </c>
      <c r="AM372" s="20">
        <v>7.2699590150151501</v>
      </c>
      <c r="AN372" s="20" t="s">
        <v>373</v>
      </c>
    </row>
    <row r="373" spans="1:40" x14ac:dyDescent="0.25">
      <c r="A373" s="20">
        <v>371</v>
      </c>
      <c r="B373" s="20" t="s">
        <v>440</v>
      </c>
      <c r="C373" s="20" t="s">
        <v>61</v>
      </c>
      <c r="D373">
        <v>1</v>
      </c>
      <c r="E373" s="20" t="s">
        <v>372</v>
      </c>
      <c r="F373" s="20">
        <v>48.986400000000003</v>
      </c>
      <c r="G373" s="20">
        <v>157.69329999999999</v>
      </c>
      <c r="H373" s="20">
        <v>57</v>
      </c>
      <c r="I373" s="20">
        <v>7.42</v>
      </c>
      <c r="J373" s="20">
        <v>29</v>
      </c>
      <c r="K373" s="20">
        <v>43</v>
      </c>
      <c r="L373" s="20">
        <v>94</v>
      </c>
      <c r="M373" s="20">
        <v>31.42</v>
      </c>
      <c r="N373" s="20">
        <v>19</v>
      </c>
      <c r="O373" s="20">
        <v>15</v>
      </c>
      <c r="P373" s="20">
        <v>5</v>
      </c>
      <c r="Q373" s="20">
        <v>5</v>
      </c>
      <c r="R373">
        <v>95</v>
      </c>
      <c r="S373">
        <v>75</v>
      </c>
      <c r="T373">
        <v>37.283789473684202</v>
      </c>
      <c r="U373">
        <v>60</v>
      </c>
      <c r="V373">
        <v>50</v>
      </c>
      <c r="W373">
        <v>88.549000000000007</v>
      </c>
      <c r="X373">
        <v>99.793114368046403</v>
      </c>
      <c r="Y373" s="20" t="s">
        <v>102</v>
      </c>
      <c r="Z373">
        <v>500</v>
      </c>
      <c r="AA373">
        <v>225</v>
      </c>
      <c r="AB373">
        <v>725</v>
      </c>
      <c r="AC373">
        <v>14.577379737113301</v>
      </c>
      <c r="AD373">
        <v>3.53553390593274</v>
      </c>
      <c r="AE373">
        <v>3.53553390593274</v>
      </c>
      <c r="AF373">
        <v>31.946434878625801</v>
      </c>
      <c r="AG373">
        <v>27.250415714376299</v>
      </c>
      <c r="AH373">
        <v>10.662450926932401</v>
      </c>
      <c r="AI373">
        <v>9.7258030736376995</v>
      </c>
      <c r="AJ373">
        <v>10.098524240487301</v>
      </c>
      <c r="AK373">
        <v>9.6680508862839005</v>
      </c>
      <c r="AL373" s="20">
        <v>2.9727800204522401</v>
      </c>
      <c r="AM373" s="20">
        <v>5.5441326003262201</v>
      </c>
      <c r="AN373" s="20" t="s">
        <v>373</v>
      </c>
    </row>
    <row r="374" spans="1:40" x14ac:dyDescent="0.25">
      <c r="A374" s="20">
        <v>372</v>
      </c>
      <c r="B374" s="20" t="s">
        <v>441</v>
      </c>
      <c r="C374" s="20" t="s">
        <v>56</v>
      </c>
      <c r="D374">
        <v>0</v>
      </c>
      <c r="E374" s="20" t="s">
        <v>372</v>
      </c>
      <c r="F374" s="20">
        <v>44.448399999999999</v>
      </c>
      <c r="G374" s="20">
        <v>-115.1361</v>
      </c>
      <c r="H374" s="20">
        <v>10</v>
      </c>
      <c r="I374" s="20">
        <v>6.46</v>
      </c>
      <c r="J374" s="20">
        <v>172</v>
      </c>
      <c r="K374" s="20">
        <v>74</v>
      </c>
      <c r="L374" s="20">
        <v>336</v>
      </c>
      <c r="M374" s="20">
        <v>0</v>
      </c>
      <c r="N374" s="20">
        <v>25</v>
      </c>
      <c r="O374" s="20">
        <v>20</v>
      </c>
      <c r="P374" s="20">
        <v>2.5</v>
      </c>
      <c r="Q374" s="20">
        <v>1.6</v>
      </c>
      <c r="R374">
        <v>62.5</v>
      </c>
      <c r="S374">
        <v>32</v>
      </c>
      <c r="T374">
        <v>8.7548399999999997</v>
      </c>
      <c r="U374">
        <v>50</v>
      </c>
      <c r="V374">
        <v>32</v>
      </c>
      <c r="W374">
        <v>10.94355</v>
      </c>
      <c r="X374">
        <v>17.4755369785629</v>
      </c>
      <c r="Y374" s="20" t="s">
        <v>102</v>
      </c>
      <c r="Z374">
        <v>116</v>
      </c>
      <c r="AA374">
        <v>44</v>
      </c>
      <c r="AB374">
        <v>160</v>
      </c>
      <c r="AC374">
        <v>15.3206559911774</v>
      </c>
      <c r="AD374">
        <v>1.48408220796558</v>
      </c>
      <c r="AE374">
        <v>1.48408220796558</v>
      </c>
      <c r="AF374">
        <v>14.640801632241301</v>
      </c>
      <c r="AG374">
        <v>8.0647160669670601</v>
      </c>
      <c r="AH374">
        <v>11.7051265216231</v>
      </c>
      <c r="AI374">
        <v>6.55362754298545</v>
      </c>
      <c r="AJ374">
        <v>4.7849775323591199</v>
      </c>
      <c r="AK374">
        <v>3.0009756081562902</v>
      </c>
      <c r="AL374" s="20">
        <v>2.5685613872360502</v>
      </c>
      <c r="AM374" s="20">
        <v>3.2796854757735501</v>
      </c>
      <c r="AN374" s="20" t="s">
        <v>373</v>
      </c>
    </row>
    <row r="375" spans="1:40" x14ac:dyDescent="0.25">
      <c r="A375" s="20">
        <v>373</v>
      </c>
      <c r="B375" s="20" t="s">
        <v>442</v>
      </c>
      <c r="C375" s="20" t="s">
        <v>56</v>
      </c>
      <c r="D375">
        <v>1</v>
      </c>
      <c r="E375" s="20" t="s">
        <v>372</v>
      </c>
      <c r="F375" s="20">
        <v>-7.84</v>
      </c>
      <c r="G375" s="20">
        <v>147.77000000000001</v>
      </c>
      <c r="H375" s="20">
        <v>79.8</v>
      </c>
      <c r="I375" s="20">
        <v>7.04</v>
      </c>
      <c r="J375" s="20">
        <v>150</v>
      </c>
      <c r="K375" s="20">
        <v>89</v>
      </c>
      <c r="L375" s="20">
        <v>239</v>
      </c>
      <c r="M375" s="20">
        <v>60.3</v>
      </c>
      <c r="N375" s="20">
        <v>14</v>
      </c>
      <c r="O375" s="20">
        <v>14</v>
      </c>
      <c r="P375" s="20">
        <v>3</v>
      </c>
      <c r="Q375" s="20">
        <v>3</v>
      </c>
      <c r="R375">
        <v>42</v>
      </c>
      <c r="S375">
        <v>42</v>
      </c>
      <c r="T375">
        <v>39.529948979591801</v>
      </c>
      <c r="U375">
        <v>27</v>
      </c>
      <c r="V375">
        <v>24</v>
      </c>
      <c r="W375">
        <v>107.60930555555601</v>
      </c>
      <c r="X375">
        <v>145.935892574843</v>
      </c>
      <c r="Y375" s="20" t="s">
        <v>102</v>
      </c>
      <c r="Z375">
        <v>81</v>
      </c>
      <c r="AA375">
        <v>81</v>
      </c>
      <c r="AB375">
        <v>162</v>
      </c>
      <c r="AC375">
        <v>11.4236596587959</v>
      </c>
      <c r="AD375">
        <v>2.1213203435596402</v>
      </c>
      <c r="AE375">
        <v>2.1213203435596402</v>
      </c>
      <c r="AF375">
        <v>16.531702523139099</v>
      </c>
      <c r="AG375">
        <v>17.0246524521692</v>
      </c>
      <c r="AH375">
        <v>5.8905043823704197</v>
      </c>
      <c r="AI375">
        <v>5.9956043999656901</v>
      </c>
      <c r="AJ375">
        <v>5.8884066044874501</v>
      </c>
      <c r="AK375">
        <v>5.9581653022479601</v>
      </c>
      <c r="AL375" s="20">
        <v>2.0340970601227499</v>
      </c>
      <c r="AM375" s="20">
        <v>2.0094810175764302</v>
      </c>
      <c r="AN375" s="20" t="s">
        <v>373</v>
      </c>
    </row>
    <row r="376" spans="1:40" x14ac:dyDescent="0.25">
      <c r="A376" s="20">
        <v>374</v>
      </c>
      <c r="B376" s="20" t="s">
        <v>443</v>
      </c>
      <c r="C376" s="20" t="s">
        <v>61</v>
      </c>
      <c r="D376">
        <v>1</v>
      </c>
      <c r="E376" s="20" t="s">
        <v>372</v>
      </c>
      <c r="F376" s="20">
        <v>55.107900000000001</v>
      </c>
      <c r="G376" s="20">
        <v>-158.47649999999999</v>
      </c>
      <c r="H376" s="20">
        <v>28</v>
      </c>
      <c r="I376" s="20">
        <v>7.88</v>
      </c>
      <c r="J376" s="20">
        <v>234</v>
      </c>
      <c r="K376" s="20">
        <v>20</v>
      </c>
      <c r="L376" s="20">
        <v>73</v>
      </c>
      <c r="M376" s="20">
        <v>5.76</v>
      </c>
      <c r="N376" s="20">
        <v>23</v>
      </c>
      <c r="O376" s="20">
        <v>15</v>
      </c>
      <c r="P376" s="20">
        <v>10</v>
      </c>
      <c r="Q376" s="20">
        <v>10</v>
      </c>
      <c r="R376">
        <v>230</v>
      </c>
      <c r="S376">
        <v>150</v>
      </c>
      <c r="T376">
        <v>48.438637681159399</v>
      </c>
      <c r="U376">
        <v>200</v>
      </c>
      <c r="V376">
        <v>150</v>
      </c>
      <c r="W376">
        <v>55.704433333333398</v>
      </c>
      <c r="X376">
        <v>52.601986592133997</v>
      </c>
      <c r="Y376" s="20" t="s">
        <v>102</v>
      </c>
      <c r="Z376">
        <v>2300</v>
      </c>
      <c r="AA376">
        <v>200</v>
      </c>
      <c r="AB376">
        <v>2500</v>
      </c>
      <c r="AC376">
        <v>15.8113883008419</v>
      </c>
      <c r="AD376">
        <v>7.0710678118654799</v>
      </c>
      <c r="AE376">
        <v>7.0710678118654799</v>
      </c>
      <c r="AF376">
        <v>53.0635477482057</v>
      </c>
      <c r="AG376">
        <v>60.6823271414628</v>
      </c>
      <c r="AH376">
        <v>35.153205654790398</v>
      </c>
      <c r="AI376">
        <v>39.243755604883901</v>
      </c>
      <c r="AJ376">
        <v>18.720388329425202</v>
      </c>
      <c r="AK376">
        <v>19.704102901373101</v>
      </c>
      <c r="AL376" s="20">
        <v>4.6073769771964601</v>
      </c>
      <c r="AM376" s="20">
        <v>4.95593983518767</v>
      </c>
      <c r="AN376" s="20" t="s">
        <v>373</v>
      </c>
    </row>
    <row r="377" spans="1:40" x14ac:dyDescent="0.25">
      <c r="A377" s="20">
        <v>375</v>
      </c>
      <c r="B377" s="20" t="s">
        <v>444</v>
      </c>
      <c r="C377" s="20" t="s">
        <v>61</v>
      </c>
      <c r="D377">
        <v>1</v>
      </c>
      <c r="E377" s="20" t="s">
        <v>372</v>
      </c>
      <c r="F377" s="20">
        <v>-28.0121</v>
      </c>
      <c r="G377" s="20">
        <v>-71.237700000000004</v>
      </c>
      <c r="H377" s="20">
        <v>23</v>
      </c>
      <c r="I377" s="20">
        <v>6.77</v>
      </c>
      <c r="J377" s="20">
        <v>11</v>
      </c>
      <c r="K377" s="20">
        <v>28</v>
      </c>
      <c r="L377" s="20">
        <v>97</v>
      </c>
      <c r="M377" s="20">
        <v>8.91</v>
      </c>
      <c r="N377" s="20">
        <v>16</v>
      </c>
      <c r="O377" s="20">
        <v>15</v>
      </c>
      <c r="P377" s="20">
        <v>4</v>
      </c>
      <c r="Q377" s="20">
        <v>4</v>
      </c>
      <c r="R377">
        <v>64</v>
      </c>
      <c r="S377">
        <v>60</v>
      </c>
      <c r="T377">
        <v>13.0743333333333</v>
      </c>
      <c r="U377">
        <v>44</v>
      </c>
      <c r="V377">
        <v>44</v>
      </c>
      <c r="W377">
        <v>25.9325619834711</v>
      </c>
      <c r="X377">
        <v>26.1764257939857</v>
      </c>
      <c r="Y377" s="20" t="s">
        <v>102</v>
      </c>
      <c r="Z377">
        <v>368</v>
      </c>
      <c r="AA377">
        <v>144</v>
      </c>
      <c r="AB377">
        <v>512</v>
      </c>
      <c r="AC377">
        <v>6.3245553203367599</v>
      </c>
      <c r="AD377">
        <v>2.8284271247461898</v>
      </c>
      <c r="AE377">
        <v>2.8284271247461898</v>
      </c>
      <c r="AF377">
        <v>31.883947260256399</v>
      </c>
      <c r="AG377">
        <v>22.2294396336654</v>
      </c>
      <c r="AH377">
        <v>10.5011651762476</v>
      </c>
      <c r="AI377">
        <v>8.5956800996774394</v>
      </c>
      <c r="AJ377">
        <v>8.2187633219655005</v>
      </c>
      <c r="AK377">
        <v>7.8310049200413099</v>
      </c>
      <c r="AL377" s="20">
        <v>1.45934166321667</v>
      </c>
      <c r="AM377" s="20">
        <v>1.0411024205139501</v>
      </c>
      <c r="AN377" s="20" t="s">
        <v>373</v>
      </c>
    </row>
    <row r="378" spans="1:40" x14ac:dyDescent="0.25">
      <c r="A378" s="20">
        <v>376</v>
      </c>
      <c r="B378" s="20" t="s">
        <v>445</v>
      </c>
      <c r="C378" s="20" t="s">
        <v>56</v>
      </c>
      <c r="D378">
        <v>1</v>
      </c>
      <c r="E378" s="20" t="s">
        <v>372</v>
      </c>
      <c r="F378" s="20">
        <v>37.897300000000001</v>
      </c>
      <c r="G378" s="20">
        <v>26.795300000000001</v>
      </c>
      <c r="H378" s="20">
        <v>21</v>
      </c>
      <c r="I378" s="20">
        <v>6.96</v>
      </c>
      <c r="J378" s="20">
        <v>93</v>
      </c>
      <c r="K378" s="20">
        <v>53</v>
      </c>
      <c r="L378" s="20">
        <v>269</v>
      </c>
      <c r="M378" s="20">
        <v>12.01</v>
      </c>
      <c r="N378" s="20">
        <v>16</v>
      </c>
      <c r="O378" s="20">
        <v>10</v>
      </c>
      <c r="P378" s="20">
        <v>2.5</v>
      </c>
      <c r="Q378" s="20">
        <v>2.5</v>
      </c>
      <c r="R378">
        <v>40</v>
      </c>
      <c r="S378">
        <v>25</v>
      </c>
      <c r="T378">
        <v>84.634749999999997</v>
      </c>
      <c r="U378">
        <v>35</v>
      </c>
      <c r="V378">
        <v>25</v>
      </c>
      <c r="W378">
        <v>96.725428571428495</v>
      </c>
      <c r="X378">
        <v>89.523997674082196</v>
      </c>
      <c r="Y378" s="20" t="s">
        <v>102</v>
      </c>
      <c r="Z378">
        <v>118.75</v>
      </c>
      <c r="AA378">
        <v>31.25</v>
      </c>
      <c r="AB378">
        <v>150</v>
      </c>
      <c r="AC378">
        <v>24.811791551599001</v>
      </c>
      <c r="AD378">
        <v>1.76776695296637</v>
      </c>
      <c r="AE378">
        <v>1.76776695296637</v>
      </c>
      <c r="AF378">
        <v>13.6605423098147</v>
      </c>
      <c r="AG378">
        <v>14.16161494773</v>
      </c>
      <c r="AH378">
        <v>5.1394591591756198</v>
      </c>
      <c r="AI378">
        <v>5.2369041930489404</v>
      </c>
      <c r="AJ378">
        <v>4.8672633614581402</v>
      </c>
      <c r="AK378">
        <v>4.8335509830897196</v>
      </c>
      <c r="AL378" s="20">
        <v>1.31681178609549</v>
      </c>
      <c r="AM378" s="20">
        <v>1.7002903516752701</v>
      </c>
      <c r="AN378" s="20" t="s">
        <v>373</v>
      </c>
    </row>
    <row r="379" spans="1:40" x14ac:dyDescent="0.25">
      <c r="A379" s="20">
        <v>377</v>
      </c>
      <c r="B379" s="20" t="s">
        <v>446</v>
      </c>
      <c r="C379" s="20" t="s">
        <v>63</v>
      </c>
      <c r="D379">
        <v>0</v>
      </c>
      <c r="E379" s="20" t="s">
        <v>372</v>
      </c>
      <c r="F379" s="20">
        <v>-31.82</v>
      </c>
      <c r="G379" s="20">
        <v>-68.849999999999994</v>
      </c>
      <c r="H379" s="20">
        <v>20</v>
      </c>
      <c r="I379" s="20">
        <v>6.45</v>
      </c>
      <c r="J379" s="20">
        <v>223</v>
      </c>
      <c r="K379" s="20">
        <v>67</v>
      </c>
      <c r="L379" s="20">
        <v>164</v>
      </c>
      <c r="M379" s="20">
        <v>7.34</v>
      </c>
      <c r="N379" s="20">
        <v>11</v>
      </c>
      <c r="O379" s="20">
        <v>11</v>
      </c>
      <c r="P379" s="20">
        <v>2.5</v>
      </c>
      <c r="Q379" s="20">
        <v>2.5</v>
      </c>
      <c r="R379">
        <v>27.5</v>
      </c>
      <c r="S379">
        <v>27.5</v>
      </c>
      <c r="T379">
        <v>23.625123966942098</v>
      </c>
      <c r="U379">
        <v>20</v>
      </c>
      <c r="V379">
        <v>22.5</v>
      </c>
      <c r="W379">
        <v>39.703333333333397</v>
      </c>
      <c r="X379">
        <v>44.097586695171202</v>
      </c>
      <c r="Y379" s="20" t="s">
        <v>102</v>
      </c>
      <c r="Z379">
        <v>50</v>
      </c>
      <c r="AA379">
        <v>31.25</v>
      </c>
      <c r="AB379">
        <v>81.25</v>
      </c>
      <c r="AC379">
        <v>1.76776695296637</v>
      </c>
      <c r="AD379">
        <v>1.76776695296637</v>
      </c>
      <c r="AE379">
        <v>1.76776695296637</v>
      </c>
      <c r="AF379">
        <v>9.4285389134313498</v>
      </c>
      <c r="AG379">
        <v>16.146754623028801</v>
      </c>
      <c r="AH379">
        <v>3.9544882247383502</v>
      </c>
      <c r="AI379">
        <v>5.3790595696735597</v>
      </c>
      <c r="AJ379">
        <v>4.6005938574091099</v>
      </c>
      <c r="AK379">
        <v>5.0428047177708404</v>
      </c>
      <c r="AL379" s="20">
        <v>2.57931233665099</v>
      </c>
      <c r="AM379" s="20">
        <v>2.5155196381662401</v>
      </c>
      <c r="AN379" s="20" t="s">
        <v>373</v>
      </c>
    </row>
    <row r="380" spans="1:40" x14ac:dyDescent="0.25">
      <c r="A380" s="20">
        <v>378</v>
      </c>
      <c r="B380" s="20" t="s">
        <v>447</v>
      </c>
      <c r="C380" s="20" t="s">
        <v>61</v>
      </c>
      <c r="D380">
        <v>1</v>
      </c>
      <c r="E380" s="20" t="s">
        <v>372</v>
      </c>
      <c r="F380" s="20">
        <v>-29.613099999999999</v>
      </c>
      <c r="G380" s="20">
        <v>-177.8425</v>
      </c>
      <c r="H380" s="20">
        <v>55.6</v>
      </c>
      <c r="I380" s="20">
        <v>7.37</v>
      </c>
      <c r="J380" s="20">
        <v>196</v>
      </c>
      <c r="K380" s="20">
        <v>32</v>
      </c>
      <c r="L380" s="20">
        <v>82</v>
      </c>
      <c r="M380" s="20">
        <v>24.86</v>
      </c>
      <c r="N380" s="20">
        <v>20</v>
      </c>
      <c r="O380" s="20">
        <v>20</v>
      </c>
      <c r="P380" s="20">
        <v>4</v>
      </c>
      <c r="Q380" s="20">
        <v>4</v>
      </c>
      <c r="R380">
        <v>80</v>
      </c>
      <c r="S380">
        <v>80</v>
      </c>
      <c r="T380">
        <v>33.971400000000003</v>
      </c>
      <c r="U380">
        <v>52</v>
      </c>
      <c r="V380">
        <v>60</v>
      </c>
      <c r="W380">
        <v>69.684923076923099</v>
      </c>
      <c r="X380">
        <v>74.441952082127102</v>
      </c>
      <c r="Y380" s="20" t="s">
        <v>102</v>
      </c>
      <c r="Z380">
        <v>480</v>
      </c>
      <c r="AA380">
        <v>240</v>
      </c>
      <c r="AB380">
        <v>720</v>
      </c>
      <c r="AC380">
        <v>22.090722034374501</v>
      </c>
      <c r="AD380">
        <v>2.8284271247461898</v>
      </c>
      <c r="AE380">
        <v>8.4852813742385695</v>
      </c>
      <c r="AF380">
        <v>35.835676444691202</v>
      </c>
      <c r="AG380">
        <v>33.0099348503717</v>
      </c>
      <c r="AH380">
        <v>16.943575541829301</v>
      </c>
      <c r="AI380">
        <v>16.012088123414401</v>
      </c>
      <c r="AJ380">
        <v>8.2800746825746803</v>
      </c>
      <c r="AK380">
        <v>8.2219251910090403</v>
      </c>
      <c r="AL380" s="20">
        <v>16.982058207708501</v>
      </c>
      <c r="AM380" s="20">
        <v>16.906412938586399</v>
      </c>
      <c r="AN380" s="20" t="s">
        <v>373</v>
      </c>
    </row>
    <row r="381" spans="1:40" x14ac:dyDescent="0.25">
      <c r="A381" s="20">
        <v>379</v>
      </c>
      <c r="B381" s="20" t="s">
        <v>448</v>
      </c>
      <c r="C381" s="20" t="s">
        <v>61</v>
      </c>
      <c r="D381">
        <v>1</v>
      </c>
      <c r="E381" s="20" t="s">
        <v>372</v>
      </c>
      <c r="F381" s="20">
        <v>-29.734999999999999</v>
      </c>
      <c r="G381" s="20">
        <v>-177.28200000000001</v>
      </c>
      <c r="H381" s="20">
        <v>26.5</v>
      </c>
      <c r="I381" s="20">
        <v>8.1</v>
      </c>
      <c r="J381" s="20">
        <v>201</v>
      </c>
      <c r="K381" s="20">
        <v>16</v>
      </c>
      <c r="L381" s="20">
        <v>98</v>
      </c>
      <c r="M381" s="20">
        <v>3.07</v>
      </c>
      <c r="N381" s="20">
        <v>24</v>
      </c>
      <c r="O381" s="20">
        <v>19</v>
      </c>
      <c r="P381" s="20">
        <v>10</v>
      </c>
      <c r="Q381" s="20">
        <v>10</v>
      </c>
      <c r="R381">
        <v>240</v>
      </c>
      <c r="S381">
        <v>190</v>
      </c>
      <c r="T381">
        <v>64.304210526315799</v>
      </c>
      <c r="U381">
        <v>190</v>
      </c>
      <c r="V381">
        <v>170</v>
      </c>
      <c r="W381">
        <v>90.782414860681101</v>
      </c>
      <c r="X381">
        <v>89.778735886902297</v>
      </c>
      <c r="Y381" s="20" t="s">
        <v>102</v>
      </c>
      <c r="Z381">
        <v>5300</v>
      </c>
      <c r="AA381">
        <v>2800</v>
      </c>
      <c r="AB381">
        <v>8100</v>
      </c>
      <c r="AC381">
        <v>65.192024052026497</v>
      </c>
      <c r="AD381">
        <v>15.8113883008419</v>
      </c>
      <c r="AE381">
        <v>25.495097567963899</v>
      </c>
      <c r="AF381">
        <v>93.752591034184107</v>
      </c>
      <c r="AG381">
        <v>90.659070068775804</v>
      </c>
      <c r="AH381">
        <v>33.331336555726097</v>
      </c>
      <c r="AI381">
        <v>32.785037013765503</v>
      </c>
      <c r="AJ381">
        <v>20.952517009692599</v>
      </c>
      <c r="AK381">
        <v>20.7959169600738</v>
      </c>
      <c r="AL381" s="20">
        <v>43.985391715432101</v>
      </c>
      <c r="AM381" s="20">
        <v>43.776521792965703</v>
      </c>
      <c r="AN381" s="20" t="s">
        <v>373</v>
      </c>
    </row>
    <row r="382" spans="1:40" x14ac:dyDescent="0.25">
      <c r="A382" s="20">
        <v>380</v>
      </c>
      <c r="B382" s="20" t="s">
        <v>449</v>
      </c>
      <c r="C382" s="20" t="s">
        <v>61</v>
      </c>
      <c r="D382">
        <v>1</v>
      </c>
      <c r="E382" s="20" t="s">
        <v>372</v>
      </c>
      <c r="F382" s="20">
        <v>38.475000000000001</v>
      </c>
      <c r="G382" s="20">
        <v>141.607</v>
      </c>
      <c r="H382" s="20">
        <v>54</v>
      </c>
      <c r="I382" s="20">
        <v>7.05</v>
      </c>
      <c r="J382" s="20">
        <v>193</v>
      </c>
      <c r="K382" s="20">
        <v>20</v>
      </c>
      <c r="L382" s="20">
        <v>73</v>
      </c>
      <c r="M382" s="20">
        <v>45.02</v>
      </c>
      <c r="N382" s="20">
        <v>15</v>
      </c>
      <c r="O382" s="20">
        <v>11</v>
      </c>
      <c r="P382" s="20">
        <v>3.5</v>
      </c>
      <c r="Q382" s="20">
        <v>3.5</v>
      </c>
      <c r="R382">
        <v>52.5</v>
      </c>
      <c r="S382">
        <v>38.5</v>
      </c>
      <c r="T382">
        <v>35.844969696969699</v>
      </c>
      <c r="U382">
        <v>31.5</v>
      </c>
      <c r="V382">
        <v>24.5</v>
      </c>
      <c r="W382">
        <v>93.879682539682506</v>
      </c>
      <c r="X382">
        <v>78.932170982444305</v>
      </c>
      <c r="Y382" s="20" t="s">
        <v>102</v>
      </c>
      <c r="Z382">
        <v>208.25</v>
      </c>
      <c r="AA382">
        <v>122.5</v>
      </c>
      <c r="AB382">
        <v>330.75</v>
      </c>
      <c r="AC382">
        <v>2.4748737341529199</v>
      </c>
      <c r="AD382">
        <v>2.4748737341529199</v>
      </c>
      <c r="AE382">
        <v>2.4748737341529199</v>
      </c>
      <c r="AF382">
        <v>39.124839582966999</v>
      </c>
      <c r="AG382">
        <v>26.139047116697299</v>
      </c>
      <c r="AH382">
        <v>10.5929058441771</v>
      </c>
      <c r="AI382">
        <v>8.5353766321559306</v>
      </c>
      <c r="AJ382">
        <v>7.6468331873324598</v>
      </c>
      <c r="AK382">
        <v>7.2401520977808298</v>
      </c>
      <c r="AL382" s="20">
        <v>7.41175819694626</v>
      </c>
      <c r="AM382" s="20">
        <v>7.17336857131989</v>
      </c>
      <c r="AN382" s="20" t="s">
        <v>373</v>
      </c>
    </row>
    <row r="383" spans="1:40" x14ac:dyDescent="0.25">
      <c r="A383" s="20">
        <v>381</v>
      </c>
      <c r="B383" s="20" t="s">
        <v>450</v>
      </c>
      <c r="C383" s="20" t="s">
        <v>63</v>
      </c>
      <c r="D383">
        <v>0</v>
      </c>
      <c r="E383" s="20" t="s">
        <v>372</v>
      </c>
      <c r="F383" s="20">
        <v>26.886800000000001</v>
      </c>
      <c r="G383" s="20">
        <v>65.371399999999994</v>
      </c>
      <c r="H383" s="20">
        <v>6</v>
      </c>
      <c r="I383" s="20">
        <v>7.72</v>
      </c>
      <c r="J383" s="20">
        <v>202.4</v>
      </c>
      <c r="K383" s="20">
        <v>73</v>
      </c>
      <c r="L383" s="20">
        <v>5</v>
      </c>
      <c r="M383" s="20">
        <v>-0.46</v>
      </c>
      <c r="N383" s="20">
        <v>8</v>
      </c>
      <c r="O383" s="20">
        <v>5</v>
      </c>
      <c r="P383" s="20">
        <v>5.08</v>
      </c>
      <c r="Q383" s="20">
        <v>4.18</v>
      </c>
      <c r="R383">
        <v>218.44</v>
      </c>
      <c r="S383">
        <v>20.9</v>
      </c>
      <c r="T383">
        <v>486.18595348837198</v>
      </c>
      <c r="U383">
        <v>177.8</v>
      </c>
      <c r="V383">
        <v>20.9</v>
      </c>
      <c r="W383">
        <v>597.31417142857197</v>
      </c>
      <c r="X383">
        <v>461.523623519122</v>
      </c>
      <c r="Y383" s="20" t="s">
        <v>102</v>
      </c>
      <c r="Z383">
        <v>1146.6576</v>
      </c>
      <c r="AA383">
        <v>297.28160000000003</v>
      </c>
      <c r="AB383">
        <v>1443.9392</v>
      </c>
      <c r="AC383">
        <v>23.704271766920002</v>
      </c>
      <c r="AD383">
        <v>17.902416038065901</v>
      </c>
      <c r="AE383">
        <v>17.902416038065901</v>
      </c>
      <c r="AF383">
        <v>27.144563180237402</v>
      </c>
      <c r="AG383">
        <v>20.899999425708199</v>
      </c>
      <c r="AH383">
        <v>14.070231784357301</v>
      </c>
      <c r="AI383">
        <v>15.2333549339399</v>
      </c>
      <c r="AJ383">
        <v>9.3495987998239798</v>
      </c>
      <c r="AK383">
        <v>8.3403253160303095</v>
      </c>
      <c r="AL383" s="20">
        <v>24.763031092739801</v>
      </c>
      <c r="AM383" s="20">
        <v>26.4766524840283</v>
      </c>
      <c r="AN383" s="20" t="s">
        <v>373</v>
      </c>
    </row>
    <row r="384" spans="1:40" x14ac:dyDescent="0.25">
      <c r="A384" s="20">
        <v>382</v>
      </c>
      <c r="B384" s="20" t="s">
        <v>451</v>
      </c>
      <c r="C384" s="20" t="s">
        <v>61</v>
      </c>
      <c r="D384">
        <v>1</v>
      </c>
      <c r="E384" s="20" t="s">
        <v>372</v>
      </c>
      <c r="F384" s="20">
        <v>9.7652000000000001</v>
      </c>
      <c r="G384" s="20">
        <v>124.0224</v>
      </c>
      <c r="H384" s="20">
        <v>20</v>
      </c>
      <c r="I384" s="20">
        <v>7.09</v>
      </c>
      <c r="J384" s="20">
        <v>38.92</v>
      </c>
      <c r="K384" s="20">
        <v>45.61</v>
      </c>
      <c r="L384" s="20">
        <v>76.709999999999994</v>
      </c>
      <c r="M384" s="20">
        <v>0.7</v>
      </c>
      <c r="N384" s="20">
        <v>21</v>
      </c>
      <c r="O384" s="20">
        <v>10</v>
      </c>
      <c r="P384" s="20">
        <v>6</v>
      </c>
      <c r="Q384" s="20">
        <v>6</v>
      </c>
      <c r="R384">
        <v>126</v>
      </c>
      <c r="S384">
        <v>60</v>
      </c>
      <c r="T384">
        <v>19.294523809523799</v>
      </c>
      <c r="U384">
        <v>108</v>
      </c>
      <c r="V384">
        <v>48</v>
      </c>
      <c r="W384">
        <v>28.137847222222199</v>
      </c>
      <c r="X384">
        <v>28.2634686491654</v>
      </c>
      <c r="Y384" s="20" t="s">
        <v>102</v>
      </c>
      <c r="Z384">
        <v>1296</v>
      </c>
      <c r="AA384">
        <v>216</v>
      </c>
      <c r="AB384">
        <v>1512</v>
      </c>
      <c r="AC384">
        <v>51.788029504896201</v>
      </c>
      <c r="AD384">
        <v>4.2426406871192901</v>
      </c>
      <c r="AE384">
        <v>25.806975801127901</v>
      </c>
      <c r="AF384">
        <v>25.323407747129998</v>
      </c>
      <c r="AG384">
        <v>31.6034562950788</v>
      </c>
      <c r="AH384">
        <v>12.452695142939699</v>
      </c>
      <c r="AI384">
        <v>14.568408328142899</v>
      </c>
      <c r="AJ384">
        <v>10.8440974472242</v>
      </c>
      <c r="AK384">
        <v>11.656049553730499</v>
      </c>
      <c r="AL384" s="20">
        <v>34.871158599765501</v>
      </c>
      <c r="AM384" s="20">
        <v>11.951120143735499</v>
      </c>
      <c r="AN384" s="20" t="s">
        <v>373</v>
      </c>
    </row>
    <row r="385" spans="1:40" x14ac:dyDescent="0.25">
      <c r="A385" s="20">
        <v>383</v>
      </c>
      <c r="B385" s="20" t="s">
        <v>452</v>
      </c>
      <c r="C385" s="20" t="s">
        <v>61</v>
      </c>
      <c r="D385">
        <v>1</v>
      </c>
      <c r="E385" s="20" t="s">
        <v>372</v>
      </c>
      <c r="F385" s="20">
        <v>17.399999999999999</v>
      </c>
      <c r="G385" s="20">
        <v>-100.96</v>
      </c>
      <c r="H385" s="20">
        <v>24</v>
      </c>
      <c r="I385" s="20">
        <v>7.25</v>
      </c>
      <c r="J385" s="20">
        <v>303</v>
      </c>
      <c r="K385" s="20">
        <v>18</v>
      </c>
      <c r="L385" s="20">
        <v>98</v>
      </c>
      <c r="M385" s="20">
        <v>9.32</v>
      </c>
      <c r="N385" s="20">
        <v>19</v>
      </c>
      <c r="O385" s="20">
        <v>15</v>
      </c>
      <c r="P385" s="20">
        <v>6</v>
      </c>
      <c r="Q385" s="20">
        <v>5</v>
      </c>
      <c r="R385">
        <v>114</v>
      </c>
      <c r="S385">
        <v>75</v>
      </c>
      <c r="T385">
        <v>22.475789473684198</v>
      </c>
      <c r="U385">
        <v>72</v>
      </c>
      <c r="V385">
        <v>50</v>
      </c>
      <c r="W385">
        <v>53.38</v>
      </c>
      <c r="X385">
        <v>68.940595199573295</v>
      </c>
      <c r="Y385" s="20" t="s">
        <v>102</v>
      </c>
      <c r="Z385">
        <v>510</v>
      </c>
      <c r="AA385">
        <v>120</v>
      </c>
      <c r="AB385">
        <v>630</v>
      </c>
      <c r="AC385">
        <v>24.438698819699901</v>
      </c>
      <c r="AD385">
        <v>3.9051248379533301</v>
      </c>
      <c r="AE385">
        <v>3.9051248379533301</v>
      </c>
      <c r="AF385">
        <v>34.189952382100699</v>
      </c>
      <c r="AG385">
        <v>19.575468217638299</v>
      </c>
      <c r="AH385">
        <v>11.854631455108599</v>
      </c>
      <c r="AI385">
        <v>7.9432677790456401</v>
      </c>
      <c r="AJ385">
        <v>11.801288819849599</v>
      </c>
      <c r="AK385">
        <v>9.1413544803215903</v>
      </c>
      <c r="AL385" s="20">
        <v>1.8692648956207401</v>
      </c>
      <c r="AM385" s="20">
        <v>2.4152772035524199</v>
      </c>
      <c r="AN385" s="20" t="s">
        <v>373</v>
      </c>
    </row>
    <row r="386" spans="1:40" x14ac:dyDescent="0.25">
      <c r="A386" s="20">
        <v>384</v>
      </c>
      <c r="B386" s="20" t="s">
        <v>453</v>
      </c>
      <c r="C386" s="20" t="s">
        <v>61</v>
      </c>
      <c r="D386">
        <v>1</v>
      </c>
      <c r="E386" s="20" t="s">
        <v>372</v>
      </c>
      <c r="F386" s="20">
        <v>-6.7202999999999999</v>
      </c>
      <c r="G386" s="20">
        <v>154.9315</v>
      </c>
      <c r="H386" s="20">
        <v>30.8</v>
      </c>
      <c r="I386" s="20">
        <v>7.47</v>
      </c>
      <c r="J386" s="20">
        <v>315.14</v>
      </c>
      <c r="K386" s="20">
        <v>33.130000000000003</v>
      </c>
      <c r="L386" s="20">
        <v>90</v>
      </c>
      <c r="M386" s="20">
        <v>2.92</v>
      </c>
      <c r="N386" s="20">
        <v>15</v>
      </c>
      <c r="O386" s="20">
        <v>15</v>
      </c>
      <c r="P386" s="20">
        <v>7</v>
      </c>
      <c r="Q386" s="20">
        <v>6.8</v>
      </c>
      <c r="R386">
        <v>105</v>
      </c>
      <c r="S386">
        <v>102</v>
      </c>
      <c r="T386">
        <v>29.752755555555598</v>
      </c>
      <c r="U386">
        <v>56</v>
      </c>
      <c r="V386">
        <v>68</v>
      </c>
      <c r="W386">
        <v>83.679625000000001</v>
      </c>
      <c r="X386">
        <v>77.892753112889295</v>
      </c>
      <c r="Y386" s="20" t="s">
        <v>102</v>
      </c>
      <c r="Z386">
        <v>856.8</v>
      </c>
      <c r="AA386">
        <v>761.6</v>
      </c>
      <c r="AB386">
        <v>1618.4</v>
      </c>
      <c r="AC386">
        <v>24.734793308212598</v>
      </c>
      <c r="AD386">
        <v>4.8795491595023401</v>
      </c>
      <c r="AE386">
        <v>4.8795491595023401</v>
      </c>
      <c r="AF386">
        <v>51.345099568966901</v>
      </c>
      <c r="AG386">
        <v>55.626786637857101</v>
      </c>
      <c r="AH386">
        <v>16.385439582099</v>
      </c>
      <c r="AI386">
        <v>16.925866993828599</v>
      </c>
      <c r="AJ386">
        <v>14.204457105233301</v>
      </c>
      <c r="AK386">
        <v>14.0508987069261</v>
      </c>
      <c r="AL386" s="20">
        <v>8.0116500435303593</v>
      </c>
      <c r="AM386" s="20">
        <v>6.9436605742216404</v>
      </c>
      <c r="AN386" s="20" t="s">
        <v>373</v>
      </c>
    </row>
    <row r="387" spans="1:40" x14ac:dyDescent="0.25">
      <c r="A387" s="20">
        <v>385</v>
      </c>
      <c r="B387" s="20" t="s">
        <v>454</v>
      </c>
      <c r="C387" s="20" t="s">
        <v>56</v>
      </c>
      <c r="D387">
        <v>1</v>
      </c>
      <c r="E387" s="20" t="s">
        <v>372</v>
      </c>
      <c r="F387" s="20">
        <v>-32.153700000000001</v>
      </c>
      <c r="G387" s="20">
        <v>-110.81480000000001</v>
      </c>
      <c r="H387" s="20">
        <v>15</v>
      </c>
      <c r="I387" s="20">
        <v>7.05</v>
      </c>
      <c r="J387" s="20">
        <v>89.59</v>
      </c>
      <c r="K387" s="20">
        <v>46.53</v>
      </c>
      <c r="L387" s="20">
        <v>56.48</v>
      </c>
      <c r="M387" s="20">
        <v>0.63</v>
      </c>
      <c r="N387" s="20">
        <v>20</v>
      </c>
      <c r="O387" s="20">
        <v>14</v>
      </c>
      <c r="P387" s="20">
        <v>5</v>
      </c>
      <c r="Q387" s="20">
        <v>2.64</v>
      </c>
      <c r="R387">
        <v>100</v>
      </c>
      <c r="S387">
        <v>36.96</v>
      </c>
      <c r="T387">
        <v>41.436571428571398</v>
      </c>
      <c r="U387">
        <v>75</v>
      </c>
      <c r="V387">
        <v>23.76</v>
      </c>
      <c r="W387">
        <v>85.942518518518497</v>
      </c>
      <c r="X387">
        <v>98.464140228612607</v>
      </c>
      <c r="Y387" s="20" t="s">
        <v>102</v>
      </c>
      <c r="Z387">
        <v>369.6</v>
      </c>
      <c r="AA387">
        <v>132</v>
      </c>
      <c r="AB387">
        <v>501.6</v>
      </c>
      <c r="AC387">
        <v>4.6831186190401004</v>
      </c>
      <c r="AD387">
        <v>2.8270833026283499</v>
      </c>
      <c r="AE387">
        <v>14.7336485637469</v>
      </c>
      <c r="AF387">
        <v>34.9328232118622</v>
      </c>
      <c r="AG387">
        <v>14.623276257384299</v>
      </c>
      <c r="AH387">
        <v>11.0276188392085</v>
      </c>
      <c r="AI387">
        <v>5.32240457289305</v>
      </c>
      <c r="AJ387">
        <v>9.8862110223946704</v>
      </c>
      <c r="AK387">
        <v>5.2650409484871599</v>
      </c>
      <c r="AL387" s="20">
        <v>24.1537452650722</v>
      </c>
      <c r="AM387" s="20">
        <v>18.0364441290405</v>
      </c>
      <c r="AN387" s="20" t="s">
        <v>373</v>
      </c>
    </row>
    <row r="388" spans="1:40" x14ac:dyDescent="0.25">
      <c r="A388" s="20">
        <v>386</v>
      </c>
      <c r="B388" s="20" t="s">
        <v>455</v>
      </c>
      <c r="C388" s="20" t="s">
        <v>56</v>
      </c>
      <c r="D388">
        <v>1</v>
      </c>
      <c r="E388" s="20" t="s">
        <v>372</v>
      </c>
      <c r="F388" s="20">
        <v>52.6693</v>
      </c>
      <c r="G388" s="20">
        <v>-31.924399999999999</v>
      </c>
      <c r="H388" s="20">
        <v>13.8</v>
      </c>
      <c r="I388" s="20">
        <v>7.13</v>
      </c>
      <c r="J388" s="20">
        <v>277.88</v>
      </c>
      <c r="K388" s="20">
        <v>79.8</v>
      </c>
      <c r="L388" s="20">
        <v>190.63</v>
      </c>
      <c r="M388" s="20">
        <v>3.46</v>
      </c>
      <c r="N388" s="20">
        <v>17</v>
      </c>
      <c r="O388" s="20">
        <v>11</v>
      </c>
      <c r="P388" s="20">
        <v>5</v>
      </c>
      <c r="Q388" s="20">
        <v>3</v>
      </c>
      <c r="R388">
        <v>85</v>
      </c>
      <c r="S388">
        <v>33</v>
      </c>
      <c r="T388">
        <v>41.012085561497301</v>
      </c>
      <c r="U388">
        <v>55</v>
      </c>
      <c r="V388">
        <v>27</v>
      </c>
      <c r="W388">
        <v>77.4672727272727</v>
      </c>
      <c r="X388">
        <v>87.647970493596603</v>
      </c>
      <c r="Y388" s="20" t="s">
        <v>102</v>
      </c>
      <c r="Z388">
        <v>240</v>
      </c>
      <c r="AA388">
        <v>150</v>
      </c>
      <c r="AB388">
        <v>390</v>
      </c>
      <c r="AC388">
        <v>12.903487900563899</v>
      </c>
      <c r="AD388">
        <v>2.9154759474226499</v>
      </c>
      <c r="AE388">
        <v>5.1478150704935004</v>
      </c>
      <c r="AF388">
        <v>36.273926696606999</v>
      </c>
      <c r="AG388">
        <v>11.779503480274</v>
      </c>
      <c r="AH388">
        <v>11.1059404985459</v>
      </c>
      <c r="AI388">
        <v>5.1742437304517503</v>
      </c>
      <c r="AJ388">
        <v>10.015479935586701</v>
      </c>
      <c r="AK388">
        <v>5.7216448683702996</v>
      </c>
      <c r="AL388" s="20">
        <v>14.778888018047899</v>
      </c>
      <c r="AM388" s="20">
        <v>12.669984533929</v>
      </c>
      <c r="AN388" s="20" t="s">
        <v>373</v>
      </c>
    </row>
    <row r="389" spans="1:40" x14ac:dyDescent="0.25">
      <c r="A389" s="20">
        <v>387</v>
      </c>
      <c r="B389" s="20" t="s">
        <v>456</v>
      </c>
      <c r="C389" s="20" t="s">
        <v>63</v>
      </c>
      <c r="D389">
        <v>0</v>
      </c>
      <c r="E389" s="20" t="s">
        <v>372</v>
      </c>
      <c r="F389" s="20">
        <v>-10.91</v>
      </c>
      <c r="G389" s="20">
        <v>165.96430000000001</v>
      </c>
      <c r="H389" s="20">
        <v>21</v>
      </c>
      <c r="I389" s="20">
        <v>7.14</v>
      </c>
      <c r="J389" s="20">
        <v>267</v>
      </c>
      <c r="K389" s="20">
        <v>84</v>
      </c>
      <c r="L389" s="20">
        <v>178</v>
      </c>
      <c r="M389" s="20">
        <v>5.33</v>
      </c>
      <c r="N389" s="20">
        <v>16</v>
      </c>
      <c r="O389" s="20">
        <v>7</v>
      </c>
      <c r="P389" s="20">
        <v>6</v>
      </c>
      <c r="Q389" s="20">
        <v>4.5</v>
      </c>
      <c r="R389">
        <v>96</v>
      </c>
      <c r="S389">
        <v>31.5</v>
      </c>
      <c r="T389">
        <v>44.202410714285698</v>
      </c>
      <c r="U389">
        <v>78</v>
      </c>
      <c r="V389">
        <v>27</v>
      </c>
      <c r="W389">
        <v>63.470128205128198</v>
      </c>
      <c r="X389">
        <v>77.281294231045393</v>
      </c>
      <c r="Y389" s="20" t="s">
        <v>102</v>
      </c>
      <c r="Z389">
        <v>324</v>
      </c>
      <c r="AA389">
        <v>324</v>
      </c>
      <c r="AB389">
        <v>648</v>
      </c>
      <c r="AC389">
        <v>29.25</v>
      </c>
      <c r="AD389">
        <v>3.75</v>
      </c>
      <c r="AE389">
        <v>7.3866433513470797</v>
      </c>
      <c r="AF389">
        <v>43.323653556176502</v>
      </c>
      <c r="AG389">
        <v>10.689759983781601</v>
      </c>
      <c r="AH389">
        <v>13.995201801242001</v>
      </c>
      <c r="AI389">
        <v>6.5340002077661303</v>
      </c>
      <c r="AJ389">
        <v>11.692481818528201</v>
      </c>
      <c r="AK389">
        <v>8.3620098917110397</v>
      </c>
      <c r="AL389" s="20">
        <v>11.0571562750103</v>
      </c>
      <c r="AM389" s="20">
        <v>9.8220253537648805</v>
      </c>
      <c r="AN389" s="20" t="s">
        <v>373</v>
      </c>
    </row>
    <row r="390" spans="1:40" x14ac:dyDescent="0.25">
      <c r="A390" s="20">
        <v>388</v>
      </c>
      <c r="B390" s="20" t="s">
        <v>457</v>
      </c>
      <c r="C390" s="20" t="s">
        <v>56</v>
      </c>
      <c r="D390">
        <v>1</v>
      </c>
      <c r="E390" s="20" t="s">
        <v>372</v>
      </c>
      <c r="F390" s="20">
        <v>37.169899999999998</v>
      </c>
      <c r="G390" s="20">
        <v>144.66470000000001</v>
      </c>
      <c r="H390" s="20">
        <v>26</v>
      </c>
      <c r="I390" s="20">
        <v>7.15</v>
      </c>
      <c r="J390" s="20">
        <v>14.96</v>
      </c>
      <c r="K390" s="20">
        <v>44.58</v>
      </c>
      <c r="L390" s="20">
        <v>280.70999999999998</v>
      </c>
      <c r="M390" s="20">
        <v>3.32</v>
      </c>
      <c r="N390" s="20">
        <v>15</v>
      </c>
      <c r="O390" s="20">
        <v>16</v>
      </c>
      <c r="P390" s="20">
        <v>5</v>
      </c>
      <c r="Q390" s="20">
        <v>3.8</v>
      </c>
      <c r="R390">
        <v>75</v>
      </c>
      <c r="S390">
        <v>60.8</v>
      </c>
      <c r="T390">
        <v>23.0491666666667</v>
      </c>
      <c r="U390">
        <v>50</v>
      </c>
      <c r="V390">
        <v>34.200000000000003</v>
      </c>
      <c r="W390">
        <v>61.464444444444403</v>
      </c>
      <c r="X390">
        <v>55.843732788116696</v>
      </c>
      <c r="Y390" s="20" t="s">
        <v>102</v>
      </c>
      <c r="Z390">
        <v>475</v>
      </c>
      <c r="AA390">
        <v>171</v>
      </c>
      <c r="AB390">
        <v>646</v>
      </c>
      <c r="AC390">
        <v>9.4201910808645497</v>
      </c>
      <c r="AD390">
        <v>3.1400636936215198</v>
      </c>
      <c r="AE390">
        <v>3.1400636936215198</v>
      </c>
      <c r="AF390">
        <v>33.834151823617297</v>
      </c>
      <c r="AG390">
        <v>27.319497142084099</v>
      </c>
      <c r="AH390">
        <v>11.1354973380283</v>
      </c>
      <c r="AI390">
        <v>8.7626578569334406</v>
      </c>
      <c r="AJ390">
        <v>10.126721389888701</v>
      </c>
      <c r="AK390">
        <v>7.6708339827203398</v>
      </c>
      <c r="AL390" s="20">
        <v>4.1847650662850802</v>
      </c>
      <c r="AM390" s="20">
        <v>4.7685663516407102</v>
      </c>
      <c r="AN390" s="20" t="s">
        <v>373</v>
      </c>
    </row>
    <row r="391" spans="1:40" x14ac:dyDescent="0.25">
      <c r="A391" s="20">
        <v>389</v>
      </c>
      <c r="B391" s="20" t="s">
        <v>458</v>
      </c>
      <c r="C391" s="20" t="s">
        <v>61</v>
      </c>
      <c r="D391">
        <v>1</v>
      </c>
      <c r="E391" s="20" t="s">
        <v>372</v>
      </c>
      <c r="F391" s="20">
        <v>-19.629799999999999</v>
      </c>
      <c r="G391" s="20">
        <v>-70.863399999999999</v>
      </c>
      <c r="H391" s="20">
        <v>25</v>
      </c>
      <c r="I391" s="20">
        <v>8.18</v>
      </c>
      <c r="J391" s="20">
        <v>347</v>
      </c>
      <c r="K391" s="20">
        <v>13.5</v>
      </c>
      <c r="L391" s="20">
        <v>107</v>
      </c>
      <c r="M391" s="20">
        <v>10.18</v>
      </c>
      <c r="N391" s="20">
        <v>20</v>
      </c>
      <c r="O391" s="20">
        <v>4</v>
      </c>
      <c r="P391" s="20">
        <v>12</v>
      </c>
      <c r="Q391" s="20">
        <v>10</v>
      </c>
      <c r="R391">
        <v>240</v>
      </c>
      <c r="S391">
        <v>40</v>
      </c>
      <c r="T391">
        <v>76.812925000000007</v>
      </c>
      <c r="U391">
        <v>204</v>
      </c>
      <c r="V391">
        <v>150</v>
      </c>
      <c r="W391">
        <v>120.490862745098</v>
      </c>
      <c r="X391">
        <v>171.19452237832101</v>
      </c>
      <c r="Y391" s="20" t="s">
        <v>102</v>
      </c>
      <c r="Z391">
        <v>3120</v>
      </c>
      <c r="AA391">
        <v>1080</v>
      </c>
      <c r="AB391">
        <v>4200</v>
      </c>
      <c r="AC391">
        <v>54.083269131959803</v>
      </c>
      <c r="AD391">
        <v>30.413812651491099</v>
      </c>
      <c r="AE391">
        <v>65.2763356814704</v>
      </c>
      <c r="AF391">
        <v>60.588434771220903</v>
      </c>
      <c r="AG391">
        <v>54.882333634115902</v>
      </c>
      <c r="AH391">
        <v>38.851299176602701</v>
      </c>
      <c r="AI391">
        <v>34.643095723030598</v>
      </c>
      <c r="AJ391">
        <v>22.461063739790902</v>
      </c>
      <c r="AK391">
        <v>19.068421076572601</v>
      </c>
      <c r="AL391" s="20">
        <v>85.490148452321705</v>
      </c>
      <c r="AM391" s="20">
        <v>84.569793281998798</v>
      </c>
      <c r="AN391" s="20" t="s">
        <v>373</v>
      </c>
    </row>
    <row r="392" spans="1:40" x14ac:dyDescent="0.25">
      <c r="A392" s="20">
        <v>390</v>
      </c>
      <c r="B392" s="20" t="s">
        <v>459</v>
      </c>
      <c r="C392" s="20" t="s">
        <v>61</v>
      </c>
      <c r="D392">
        <v>1</v>
      </c>
      <c r="E392" s="20" t="s">
        <v>372</v>
      </c>
      <c r="F392" s="20">
        <v>-20.518000000000001</v>
      </c>
      <c r="G392" s="20">
        <v>-70.504999999999995</v>
      </c>
      <c r="H392" s="20">
        <v>32</v>
      </c>
      <c r="I392" s="20">
        <v>7.78</v>
      </c>
      <c r="J392" s="20">
        <v>355</v>
      </c>
      <c r="K392" s="20">
        <v>18</v>
      </c>
      <c r="L392" s="20">
        <v>95.24</v>
      </c>
      <c r="M392" s="20">
        <v>13.45</v>
      </c>
      <c r="N392" s="20">
        <v>19</v>
      </c>
      <c r="O392" s="20">
        <v>19</v>
      </c>
      <c r="P392" s="20">
        <v>10</v>
      </c>
      <c r="Q392" s="20">
        <v>8</v>
      </c>
      <c r="R392">
        <v>190</v>
      </c>
      <c r="S392">
        <v>152</v>
      </c>
      <c r="T392">
        <v>32.096011080332403</v>
      </c>
      <c r="U392">
        <v>140</v>
      </c>
      <c r="V392">
        <v>128</v>
      </c>
      <c r="W392">
        <v>51.726160714285697</v>
      </c>
      <c r="X392">
        <v>66.549125672604006</v>
      </c>
      <c r="Y392" s="20" t="s">
        <v>102</v>
      </c>
      <c r="Z392">
        <v>1920</v>
      </c>
      <c r="AA392">
        <v>1040</v>
      </c>
      <c r="AB392">
        <v>2960</v>
      </c>
      <c r="AC392">
        <v>27.730849247724102</v>
      </c>
      <c r="AD392">
        <v>6.4031242374328503</v>
      </c>
      <c r="AE392">
        <v>6.4031242374328503</v>
      </c>
      <c r="AF392">
        <v>52.5464359750423</v>
      </c>
      <c r="AG392">
        <v>44.189311883769598</v>
      </c>
      <c r="AH392">
        <v>35.404279919235201</v>
      </c>
      <c r="AI392">
        <v>29.398468167335398</v>
      </c>
      <c r="AJ392">
        <v>19.050592836677101</v>
      </c>
      <c r="AK392">
        <v>15.1208824843704</v>
      </c>
      <c r="AL392" s="20">
        <v>28.049778283794002</v>
      </c>
      <c r="AM392" s="20">
        <v>24.764411707932801</v>
      </c>
      <c r="AN392" s="20" t="s">
        <v>373</v>
      </c>
    </row>
    <row r="393" spans="1:40" x14ac:dyDescent="0.25">
      <c r="A393" s="20">
        <v>391</v>
      </c>
      <c r="B393" s="20" t="s">
        <v>460</v>
      </c>
      <c r="C393" s="20" t="s">
        <v>61</v>
      </c>
      <c r="D393">
        <v>1</v>
      </c>
      <c r="E393" s="20" t="s">
        <v>372</v>
      </c>
      <c r="F393" s="20">
        <v>-6.59</v>
      </c>
      <c r="G393" s="20">
        <v>155.05000000000001</v>
      </c>
      <c r="H393" s="20">
        <v>60</v>
      </c>
      <c r="I393" s="20">
        <v>7.06</v>
      </c>
      <c r="J393" s="20">
        <v>310</v>
      </c>
      <c r="K393" s="20">
        <v>45</v>
      </c>
      <c r="L393" s="20">
        <v>87</v>
      </c>
      <c r="M393" s="20">
        <v>18.45</v>
      </c>
      <c r="N393" s="20">
        <v>21</v>
      </c>
      <c r="O393" s="20">
        <v>20</v>
      </c>
      <c r="P393" s="20">
        <v>6</v>
      </c>
      <c r="Q393" s="20">
        <v>4.7</v>
      </c>
      <c r="R393">
        <v>126</v>
      </c>
      <c r="S393">
        <v>94</v>
      </c>
      <c r="T393">
        <v>6.3432619047619099</v>
      </c>
      <c r="U393">
        <v>54</v>
      </c>
      <c r="V393">
        <v>56.4</v>
      </c>
      <c r="W393">
        <v>24.6682407407407</v>
      </c>
      <c r="X393">
        <v>33.205325057007101</v>
      </c>
      <c r="Y393" s="20" t="s">
        <v>102</v>
      </c>
      <c r="Z393">
        <v>451.2</v>
      </c>
      <c r="AA393">
        <v>225.6</v>
      </c>
      <c r="AB393">
        <v>676.8</v>
      </c>
      <c r="AC393">
        <v>31.6164909501355</v>
      </c>
      <c r="AD393">
        <v>3.8108398024582399</v>
      </c>
      <c r="AE393">
        <v>3.8108398024582399</v>
      </c>
      <c r="AF393">
        <v>31.715012013735699</v>
      </c>
      <c r="AG393">
        <v>27.060114952855098</v>
      </c>
      <c r="AH393">
        <v>11.4324676138637</v>
      </c>
      <c r="AI393">
        <v>9.4038487661924197</v>
      </c>
      <c r="AJ393">
        <v>11.6389941244881</v>
      </c>
      <c r="AK393">
        <v>9.08812936800771</v>
      </c>
      <c r="AL393" s="20">
        <v>3.1087682866370101</v>
      </c>
      <c r="AM393" s="20">
        <v>4.3317187731892304</v>
      </c>
      <c r="AN393" s="20" t="s">
        <v>373</v>
      </c>
    </row>
    <row r="394" spans="1:40" x14ac:dyDescent="0.25">
      <c r="A394" s="20">
        <v>392</v>
      </c>
      <c r="B394" s="20" t="s">
        <v>461</v>
      </c>
      <c r="C394" s="20" t="s">
        <v>63</v>
      </c>
      <c r="D394">
        <v>1</v>
      </c>
      <c r="E394" s="20" t="s">
        <v>372</v>
      </c>
      <c r="F394" s="20">
        <v>-11.3149</v>
      </c>
      <c r="G394" s="20">
        <v>162.2114</v>
      </c>
      <c r="H394" s="20">
        <v>29.3</v>
      </c>
      <c r="I394" s="20">
        <v>7.71</v>
      </c>
      <c r="J394" s="20">
        <v>115.8</v>
      </c>
      <c r="K394" s="20">
        <v>69</v>
      </c>
      <c r="L394" s="20">
        <v>24.05</v>
      </c>
      <c r="M394" s="20">
        <v>0.54</v>
      </c>
      <c r="N394" s="20">
        <v>25</v>
      </c>
      <c r="O394" s="20">
        <v>17</v>
      </c>
      <c r="P394" s="20">
        <v>8</v>
      </c>
      <c r="Q394" s="20">
        <v>5.6</v>
      </c>
      <c r="R394">
        <v>200</v>
      </c>
      <c r="S394">
        <v>95.2</v>
      </c>
      <c r="T394">
        <v>47.240964705882398</v>
      </c>
      <c r="U394">
        <v>136</v>
      </c>
      <c r="V394">
        <v>78.400000000000006</v>
      </c>
      <c r="W394">
        <v>84.358865546218397</v>
      </c>
      <c r="X394">
        <v>111.197931233806</v>
      </c>
      <c r="Y394" s="20" t="s">
        <v>102</v>
      </c>
      <c r="Z394">
        <v>1254.4000000000001</v>
      </c>
      <c r="AA394">
        <v>358.4</v>
      </c>
      <c r="AB394">
        <v>1612.8</v>
      </c>
      <c r="AC394">
        <v>34.178355724054398</v>
      </c>
      <c r="AD394">
        <v>4.8826222462934803</v>
      </c>
      <c r="AE394">
        <v>4.8826222462934803</v>
      </c>
      <c r="AF394">
        <v>50.051433792776301</v>
      </c>
      <c r="AG394">
        <v>26.0694721104339</v>
      </c>
      <c r="AH394">
        <v>23.8576867047829</v>
      </c>
      <c r="AI394">
        <v>13.655202561356999</v>
      </c>
      <c r="AJ394">
        <v>15.6718982788747</v>
      </c>
      <c r="AK394">
        <v>10.5515428443953</v>
      </c>
      <c r="AL394" s="20">
        <v>3.9018375158378902</v>
      </c>
      <c r="AM394" s="20">
        <v>301.85253434790002</v>
      </c>
      <c r="AN394" s="20" t="s">
        <v>373</v>
      </c>
    </row>
    <row r="395" spans="1:40" x14ac:dyDescent="0.25">
      <c r="A395" s="20">
        <v>393</v>
      </c>
      <c r="B395" s="20" t="s">
        <v>462</v>
      </c>
      <c r="C395" s="20" t="s">
        <v>61</v>
      </c>
      <c r="D395">
        <v>1</v>
      </c>
      <c r="E395" s="20" t="s">
        <v>372</v>
      </c>
      <c r="F395" s="20">
        <v>-11.454800000000001</v>
      </c>
      <c r="G395" s="20">
        <v>162.0634</v>
      </c>
      <c r="H395" s="20">
        <v>35</v>
      </c>
      <c r="I395" s="20">
        <v>7.43</v>
      </c>
      <c r="J395" s="20">
        <v>90</v>
      </c>
      <c r="K395" s="20">
        <v>40</v>
      </c>
      <c r="L395" s="20">
        <v>75</v>
      </c>
      <c r="M395" s="20">
        <v>-0.09</v>
      </c>
      <c r="N395" s="20">
        <v>26</v>
      </c>
      <c r="O395" s="20">
        <v>17</v>
      </c>
      <c r="P395" s="20">
        <v>5.5</v>
      </c>
      <c r="Q395" s="20">
        <v>5.2</v>
      </c>
      <c r="R395">
        <v>143</v>
      </c>
      <c r="S395">
        <v>88.4</v>
      </c>
      <c r="T395">
        <v>29.394909502262401</v>
      </c>
      <c r="U395">
        <v>66</v>
      </c>
      <c r="V395">
        <v>83.2</v>
      </c>
      <c r="W395">
        <v>67.669531250000006</v>
      </c>
      <c r="X395">
        <v>91.777651684947699</v>
      </c>
      <c r="Y395" s="20" t="s">
        <v>102</v>
      </c>
      <c r="Z395">
        <v>772.2</v>
      </c>
      <c r="AA395">
        <v>171.6</v>
      </c>
      <c r="AB395">
        <v>943.8</v>
      </c>
      <c r="AC395">
        <v>36.489758837240899</v>
      </c>
      <c r="AD395">
        <v>3.7845078940332502</v>
      </c>
      <c r="AE395">
        <v>13.287682265918299</v>
      </c>
      <c r="AF395">
        <v>28.777531847412501</v>
      </c>
      <c r="AG395">
        <v>33.185373876518902</v>
      </c>
      <c r="AH395">
        <v>10.491479668604599</v>
      </c>
      <c r="AI395">
        <v>10.9344528689633</v>
      </c>
      <c r="AJ395">
        <v>10.6265674650018</v>
      </c>
      <c r="AK395">
        <v>10.3079441277716</v>
      </c>
      <c r="AL395" s="20">
        <v>18.753668934371198</v>
      </c>
      <c r="AM395" s="20">
        <v>5.7064612580828102</v>
      </c>
      <c r="AN395" s="20" t="s">
        <v>373</v>
      </c>
    </row>
    <row r="396" spans="1:40" x14ac:dyDescent="0.25">
      <c r="A396" s="20">
        <v>394</v>
      </c>
      <c r="B396" s="20" t="s">
        <v>463</v>
      </c>
      <c r="C396" s="20" t="s">
        <v>56</v>
      </c>
      <c r="D396">
        <v>1</v>
      </c>
      <c r="E396" s="20" t="s">
        <v>372</v>
      </c>
      <c r="F396" s="20">
        <v>51.83</v>
      </c>
      <c r="G396" s="20">
        <v>178.75</v>
      </c>
      <c r="H396" s="20">
        <v>109</v>
      </c>
      <c r="I396" s="20">
        <v>7.91</v>
      </c>
      <c r="J396" s="20">
        <v>309</v>
      </c>
      <c r="K396" s="20">
        <v>84</v>
      </c>
      <c r="L396" s="20">
        <v>243</v>
      </c>
      <c r="M396" s="20">
        <v>49.82</v>
      </c>
      <c r="N396" s="20">
        <v>21</v>
      </c>
      <c r="O396" s="20">
        <v>15</v>
      </c>
      <c r="P396" s="20">
        <v>7</v>
      </c>
      <c r="Q396" s="20">
        <v>7</v>
      </c>
      <c r="R396">
        <v>147</v>
      </c>
      <c r="S396">
        <v>105</v>
      </c>
      <c r="T396">
        <v>93.643142857142806</v>
      </c>
      <c r="U396">
        <v>105</v>
      </c>
      <c r="V396">
        <v>84</v>
      </c>
      <c r="W396">
        <v>163.87549999999999</v>
      </c>
      <c r="X396">
        <v>213.094414339205</v>
      </c>
      <c r="Y396" s="20" t="s">
        <v>102</v>
      </c>
      <c r="Z396">
        <v>1225</v>
      </c>
      <c r="AA396">
        <v>735</v>
      </c>
      <c r="AB396">
        <v>1960</v>
      </c>
      <c r="AC396">
        <v>44.547727214752499</v>
      </c>
      <c r="AD396">
        <v>4.94974746830583</v>
      </c>
      <c r="AE396">
        <v>31.693847983481</v>
      </c>
      <c r="AF396">
        <v>43.9868250534523</v>
      </c>
      <c r="AG396">
        <v>34.786172381326899</v>
      </c>
      <c r="AH396">
        <v>16.797444719190899</v>
      </c>
      <c r="AI396">
        <v>14.668228439345301</v>
      </c>
      <c r="AJ396">
        <v>13.6631999960012</v>
      </c>
      <c r="AK396">
        <v>13.527882479475</v>
      </c>
      <c r="AL396" s="20">
        <v>46.610156343226301</v>
      </c>
      <c r="AM396" s="20">
        <v>42.140558649595498</v>
      </c>
      <c r="AN396" s="20" t="s">
        <v>373</v>
      </c>
    </row>
    <row r="397" spans="1:40" x14ac:dyDescent="0.25">
      <c r="A397" s="20">
        <v>395</v>
      </c>
      <c r="B397" s="20" t="s">
        <v>464</v>
      </c>
      <c r="C397" s="20" t="s">
        <v>56</v>
      </c>
      <c r="D397">
        <v>1</v>
      </c>
      <c r="E397" s="20" t="s">
        <v>372</v>
      </c>
      <c r="F397" s="20">
        <v>54.89</v>
      </c>
      <c r="G397" s="20">
        <v>153.22</v>
      </c>
      <c r="H397" s="20">
        <v>598.1</v>
      </c>
      <c r="I397" s="20">
        <v>8.32</v>
      </c>
      <c r="J397" s="20">
        <v>12.15</v>
      </c>
      <c r="K397" s="20">
        <v>78.930000000000007</v>
      </c>
      <c r="L397" s="20">
        <v>270.66000000000003</v>
      </c>
      <c r="M397" s="20">
        <v>545.1</v>
      </c>
      <c r="N397" s="20">
        <v>19</v>
      </c>
      <c r="O397" s="20">
        <v>15</v>
      </c>
      <c r="P397" s="20">
        <v>12</v>
      </c>
      <c r="Q397" s="20">
        <v>12</v>
      </c>
      <c r="R397">
        <v>228</v>
      </c>
      <c r="S397">
        <v>180</v>
      </c>
      <c r="T397">
        <v>82.788350877192997</v>
      </c>
      <c r="U397">
        <v>156</v>
      </c>
      <c r="V397">
        <v>156</v>
      </c>
      <c r="W397">
        <v>139.61349112426001</v>
      </c>
      <c r="X397">
        <v>165.31136919281701</v>
      </c>
      <c r="Y397" s="20" t="s">
        <v>102</v>
      </c>
      <c r="Z397">
        <v>3744</v>
      </c>
      <c r="AA397">
        <v>1008</v>
      </c>
      <c r="AB397">
        <v>4752</v>
      </c>
      <c r="AC397">
        <v>25.4558441227157</v>
      </c>
      <c r="AD397">
        <v>8.4852813742385695</v>
      </c>
      <c r="AE397">
        <v>18.973665961010301</v>
      </c>
      <c r="AF397">
        <v>69.011503642075397</v>
      </c>
      <c r="AG397">
        <v>58.170481806828398</v>
      </c>
      <c r="AH397">
        <v>42.263671084661901</v>
      </c>
      <c r="AI397">
        <v>36.8814338817985</v>
      </c>
      <c r="AJ397">
        <v>23.299160960850202</v>
      </c>
      <c r="AK397">
        <v>22.191107360236099</v>
      </c>
      <c r="AL397" s="20">
        <v>41.206127414257203</v>
      </c>
      <c r="AM397" s="20">
        <v>27.3237747765568</v>
      </c>
      <c r="AN397" s="20" t="s">
        <v>373</v>
      </c>
    </row>
    <row r="398" spans="1:40" x14ac:dyDescent="0.25">
      <c r="A398" s="20">
        <v>396</v>
      </c>
      <c r="B398" s="20" t="s">
        <v>465</v>
      </c>
      <c r="C398" s="20" t="s">
        <v>56</v>
      </c>
      <c r="D398">
        <v>0</v>
      </c>
      <c r="E398" s="20" t="s">
        <v>372</v>
      </c>
      <c r="F398" s="20">
        <v>1.1599999999999999</v>
      </c>
      <c r="G398" s="20">
        <v>122.84</v>
      </c>
      <c r="H398" s="20">
        <v>26</v>
      </c>
      <c r="I398" s="20">
        <v>7.59</v>
      </c>
      <c r="J398" s="20">
        <v>112</v>
      </c>
      <c r="K398" s="20">
        <v>31</v>
      </c>
      <c r="L398" s="20">
        <v>122</v>
      </c>
      <c r="M398" s="20">
        <v>0.11</v>
      </c>
      <c r="N398" s="20">
        <v>17</v>
      </c>
      <c r="O398" s="20">
        <v>15</v>
      </c>
      <c r="P398" s="20">
        <v>8</v>
      </c>
      <c r="Q398" s="20">
        <v>6.7</v>
      </c>
      <c r="R398">
        <v>136</v>
      </c>
      <c r="S398">
        <v>100.5</v>
      </c>
      <c r="T398">
        <v>46.260196078431399</v>
      </c>
      <c r="U398">
        <v>120</v>
      </c>
      <c r="V398">
        <v>100.5</v>
      </c>
      <c r="W398">
        <v>52.428222222222203</v>
      </c>
      <c r="X398">
        <v>51.160275428098302</v>
      </c>
      <c r="Y398" s="20" t="s">
        <v>102</v>
      </c>
      <c r="Z398">
        <v>2680</v>
      </c>
      <c r="AA398">
        <v>696.8</v>
      </c>
      <c r="AB398">
        <v>3376.8</v>
      </c>
      <c r="AC398">
        <v>39.705950435671497</v>
      </c>
      <c r="AD398">
        <v>5.2175185672884696</v>
      </c>
      <c r="AE398">
        <v>5.2175185672884696</v>
      </c>
      <c r="AF398">
        <v>32.943474269016697</v>
      </c>
      <c r="AG398">
        <v>48.992592657956898</v>
      </c>
      <c r="AH398">
        <v>26.944569705715899</v>
      </c>
      <c r="AI398">
        <v>37.759644323401901</v>
      </c>
      <c r="AJ398">
        <v>14.231744659573</v>
      </c>
      <c r="AK398">
        <v>13.771827662674699</v>
      </c>
      <c r="AL398" s="20">
        <v>10.170640636656101</v>
      </c>
      <c r="AM398" s="20">
        <v>10.106370274732701</v>
      </c>
      <c r="AN398" s="20" t="s">
        <v>373</v>
      </c>
    </row>
    <row r="399" spans="1:40" x14ac:dyDescent="0.25">
      <c r="A399" s="20">
        <v>397</v>
      </c>
      <c r="B399" s="20" t="s">
        <v>466</v>
      </c>
      <c r="C399" s="20" t="s">
        <v>56</v>
      </c>
      <c r="D399">
        <v>0</v>
      </c>
      <c r="E399" s="20" t="s">
        <v>372</v>
      </c>
      <c r="F399" s="20">
        <v>-5.09</v>
      </c>
      <c r="G399" s="20">
        <v>150.97999999999999</v>
      </c>
      <c r="H399" s="20">
        <v>177</v>
      </c>
      <c r="I399" s="20">
        <v>7.39</v>
      </c>
      <c r="J399" s="20">
        <v>102</v>
      </c>
      <c r="K399" s="20">
        <v>80</v>
      </c>
      <c r="L399" s="20">
        <v>127</v>
      </c>
      <c r="M399" s="20">
        <v>152.87</v>
      </c>
      <c r="N399" s="20">
        <v>13</v>
      </c>
      <c r="O399" s="20">
        <v>11</v>
      </c>
      <c r="P399" s="20">
        <v>7</v>
      </c>
      <c r="Q399" s="20">
        <v>7</v>
      </c>
      <c r="R399">
        <v>91</v>
      </c>
      <c r="S399">
        <v>77</v>
      </c>
      <c r="T399">
        <v>33.482587412587399</v>
      </c>
      <c r="U399">
        <v>49</v>
      </c>
      <c r="V399">
        <v>56</v>
      </c>
      <c r="W399">
        <v>85.500178571428606</v>
      </c>
      <c r="X399">
        <v>95.287666413198096</v>
      </c>
      <c r="Y399" s="20" t="s">
        <v>102</v>
      </c>
      <c r="Z399">
        <v>441</v>
      </c>
      <c r="AA399">
        <v>392</v>
      </c>
      <c r="AB399">
        <v>833</v>
      </c>
      <c r="AC399">
        <v>20.4083316319586</v>
      </c>
      <c r="AD399">
        <v>4.94974746830583</v>
      </c>
      <c r="AE399">
        <v>11.067971810589301</v>
      </c>
      <c r="AF399">
        <v>32.182936963057003</v>
      </c>
      <c r="AG399">
        <v>22.872842347001701</v>
      </c>
      <c r="AH399">
        <v>12.026060926729199</v>
      </c>
      <c r="AI399">
        <v>9.9060563164368105</v>
      </c>
      <c r="AJ399">
        <v>13.2678434109504</v>
      </c>
      <c r="AK399">
        <v>12.534828949086799</v>
      </c>
      <c r="AL399" s="20">
        <v>24.567153702454</v>
      </c>
      <c r="AM399" s="20">
        <v>22.2171048575191</v>
      </c>
      <c r="AN399" s="20" t="s">
        <v>373</v>
      </c>
    </row>
    <row r="400" spans="1:40" x14ac:dyDescent="0.25">
      <c r="A400" s="20">
        <v>398</v>
      </c>
      <c r="B400" s="20" t="s">
        <v>467</v>
      </c>
      <c r="C400" s="20" t="s">
        <v>56</v>
      </c>
      <c r="D400">
        <v>1</v>
      </c>
      <c r="E400" s="20" t="s">
        <v>372</v>
      </c>
      <c r="F400" s="20">
        <v>9.68</v>
      </c>
      <c r="G400" s="20">
        <v>-83.08</v>
      </c>
      <c r="H400" s="20">
        <v>10</v>
      </c>
      <c r="I400" s="20">
        <v>7.57</v>
      </c>
      <c r="J400" s="20">
        <v>103</v>
      </c>
      <c r="K400" s="20">
        <v>25</v>
      </c>
      <c r="L400" s="20">
        <v>58</v>
      </c>
      <c r="M400" s="20">
        <v>0.49</v>
      </c>
      <c r="N400" s="20">
        <v>37</v>
      </c>
      <c r="O400" s="20">
        <v>15</v>
      </c>
      <c r="P400" s="20">
        <v>6</v>
      </c>
      <c r="Q400" s="20">
        <v>5</v>
      </c>
      <c r="R400">
        <v>222</v>
      </c>
      <c r="S400">
        <v>75</v>
      </c>
      <c r="T400">
        <v>46.402450450450502</v>
      </c>
      <c r="U400">
        <v>138</v>
      </c>
      <c r="V400">
        <v>65</v>
      </c>
      <c r="W400">
        <v>86.131638795986603</v>
      </c>
      <c r="X400">
        <v>84.277481824105493</v>
      </c>
      <c r="Y400" s="20" t="s">
        <v>102</v>
      </c>
      <c r="Z400">
        <v>2550</v>
      </c>
      <c r="AA400">
        <v>570</v>
      </c>
      <c r="AB400">
        <v>3120</v>
      </c>
      <c r="AC400">
        <v>98.393343270772107</v>
      </c>
      <c r="AD400">
        <v>3.9051248379533301</v>
      </c>
      <c r="AE400">
        <v>3.9051248379533301</v>
      </c>
      <c r="AF400">
        <v>32.438673354342598</v>
      </c>
      <c r="AG400">
        <v>26.7087313469763</v>
      </c>
      <c r="AH400">
        <v>37.256655708954398</v>
      </c>
      <c r="AI400">
        <v>30.564268096467998</v>
      </c>
      <c r="AJ400">
        <v>11.178689462133001</v>
      </c>
      <c r="AK400">
        <v>9.5926454643054004</v>
      </c>
      <c r="AL400" s="20">
        <v>25.533627180837399</v>
      </c>
      <c r="AM400" s="20">
        <v>1.6575016892902401</v>
      </c>
      <c r="AN400" s="20" t="s">
        <v>373</v>
      </c>
    </row>
    <row r="401" spans="1:40" x14ac:dyDescent="0.25">
      <c r="A401" s="20">
        <v>399</v>
      </c>
      <c r="B401" s="20" t="s">
        <v>468</v>
      </c>
      <c r="C401" s="20" t="s">
        <v>61</v>
      </c>
      <c r="D401">
        <v>0</v>
      </c>
      <c r="E401" s="20" t="s">
        <v>372</v>
      </c>
      <c r="F401" s="20">
        <v>1.17</v>
      </c>
      <c r="G401" s="20">
        <v>122.76</v>
      </c>
      <c r="H401" s="20">
        <v>31</v>
      </c>
      <c r="I401" s="20">
        <v>7.47</v>
      </c>
      <c r="J401" s="20">
        <v>109</v>
      </c>
      <c r="K401" s="20">
        <v>10</v>
      </c>
      <c r="L401" s="20">
        <v>102</v>
      </c>
      <c r="M401" s="20">
        <v>16.93</v>
      </c>
      <c r="N401" s="20">
        <v>17</v>
      </c>
      <c r="O401" s="20">
        <v>12</v>
      </c>
      <c r="P401" s="20">
        <v>6</v>
      </c>
      <c r="Q401" s="20">
        <v>10.8</v>
      </c>
      <c r="R401">
        <v>102</v>
      </c>
      <c r="S401">
        <v>129.6</v>
      </c>
      <c r="T401">
        <v>26.358088235294101</v>
      </c>
      <c r="U401">
        <v>84</v>
      </c>
      <c r="V401">
        <v>108</v>
      </c>
      <c r="W401">
        <v>38.407499999999999</v>
      </c>
      <c r="X401">
        <v>46.239593001143398</v>
      </c>
      <c r="Y401" s="20" t="s">
        <v>102</v>
      </c>
      <c r="Z401">
        <v>1360.8</v>
      </c>
      <c r="AA401">
        <v>907.2</v>
      </c>
      <c r="AB401">
        <v>2268</v>
      </c>
      <c r="AC401">
        <v>6.1773780845921999</v>
      </c>
      <c r="AD401">
        <v>6.1773780845921902</v>
      </c>
      <c r="AE401">
        <v>6.1773780845921902</v>
      </c>
      <c r="AF401">
        <v>30.921732277621999</v>
      </c>
      <c r="AG401">
        <v>37.3254469044806</v>
      </c>
      <c r="AH401">
        <v>17.329821032835302</v>
      </c>
      <c r="AI401">
        <v>23.258507321612498</v>
      </c>
      <c r="AJ401">
        <v>11.4135298784746</v>
      </c>
      <c r="AK401">
        <v>18.970302352365302</v>
      </c>
      <c r="AL401" s="20">
        <v>6.6271892903402101</v>
      </c>
      <c r="AM401" s="20">
        <v>10.4453750578905</v>
      </c>
      <c r="AN401" s="20" t="s">
        <v>373</v>
      </c>
    </row>
    <row r="402" spans="1:40" x14ac:dyDescent="0.25">
      <c r="A402" s="20">
        <v>400</v>
      </c>
      <c r="B402" s="20" t="s">
        <v>469</v>
      </c>
      <c r="C402" s="20" t="s">
        <v>61</v>
      </c>
      <c r="D402">
        <v>1</v>
      </c>
      <c r="E402" s="20" t="s">
        <v>372</v>
      </c>
      <c r="F402" s="20">
        <v>45.47</v>
      </c>
      <c r="G402" s="20">
        <v>151.05000000000001</v>
      </c>
      <c r="H402" s="20">
        <v>25</v>
      </c>
      <c r="I402" s="20">
        <v>7.54</v>
      </c>
      <c r="J402" s="20">
        <v>226</v>
      </c>
      <c r="K402" s="20">
        <v>19</v>
      </c>
      <c r="L402" s="20">
        <v>99</v>
      </c>
      <c r="M402" s="20">
        <v>0.25</v>
      </c>
      <c r="N402" s="20">
        <v>23</v>
      </c>
      <c r="O402" s="20">
        <v>16</v>
      </c>
      <c r="P402" s="20">
        <v>10</v>
      </c>
      <c r="Q402" s="20">
        <v>8</v>
      </c>
      <c r="R402">
        <v>230</v>
      </c>
      <c r="S402">
        <v>128</v>
      </c>
      <c r="T402">
        <v>22.525896739130399</v>
      </c>
      <c r="U402">
        <v>180</v>
      </c>
      <c r="V402">
        <v>112</v>
      </c>
      <c r="W402">
        <v>32.894960317460303</v>
      </c>
      <c r="X402">
        <v>38.499185588383199</v>
      </c>
      <c r="Y402" s="20" t="s">
        <v>102</v>
      </c>
      <c r="Z402">
        <v>3600</v>
      </c>
      <c r="AA402">
        <v>960</v>
      </c>
      <c r="AB402">
        <v>4560</v>
      </c>
      <c r="AC402">
        <v>43.829214001622297</v>
      </c>
      <c r="AD402">
        <v>6.4031242374328503</v>
      </c>
      <c r="AE402">
        <v>6.4031242374328503</v>
      </c>
      <c r="AF402">
        <v>61.465352295652103</v>
      </c>
      <c r="AG402">
        <v>45.717933261344101</v>
      </c>
      <c r="AH402">
        <v>35.553975602407803</v>
      </c>
      <c r="AI402">
        <v>26.939458846538699</v>
      </c>
      <c r="AJ402">
        <v>19.358791910600502</v>
      </c>
      <c r="AK402">
        <v>15.473239087534401</v>
      </c>
      <c r="AL402" s="20">
        <v>28.258755119254602</v>
      </c>
      <c r="AM402" s="20">
        <v>5.1129884998892798</v>
      </c>
      <c r="AN402" s="20" t="s">
        <v>373</v>
      </c>
    </row>
    <row r="403" spans="1:40" x14ac:dyDescent="0.25">
      <c r="A403" s="20">
        <v>401</v>
      </c>
      <c r="B403" s="20" t="s">
        <v>470</v>
      </c>
      <c r="C403" s="20" t="s">
        <v>61</v>
      </c>
      <c r="D403">
        <v>1</v>
      </c>
      <c r="E403" s="20" t="s">
        <v>372</v>
      </c>
      <c r="F403" s="20">
        <v>11.4582</v>
      </c>
      <c r="G403" s="20">
        <v>-87.62</v>
      </c>
      <c r="H403" s="20">
        <v>9.5</v>
      </c>
      <c r="I403" s="20">
        <v>7.61</v>
      </c>
      <c r="J403" s="20">
        <v>303</v>
      </c>
      <c r="K403" s="20">
        <v>15</v>
      </c>
      <c r="L403" s="20">
        <v>90</v>
      </c>
      <c r="M403" s="20">
        <v>0.06</v>
      </c>
      <c r="N403" s="20">
        <v>31</v>
      </c>
      <c r="O403" s="20">
        <v>11</v>
      </c>
      <c r="P403" s="20">
        <v>12</v>
      </c>
      <c r="Q403" s="20">
        <v>8.1</v>
      </c>
      <c r="R403">
        <v>372</v>
      </c>
      <c r="S403">
        <v>89.1</v>
      </c>
      <c r="T403">
        <v>71.756392961876799</v>
      </c>
      <c r="U403">
        <v>324</v>
      </c>
      <c r="V403">
        <v>81</v>
      </c>
      <c r="W403">
        <v>90.625666666666703</v>
      </c>
      <c r="X403">
        <v>91.042676631704694</v>
      </c>
      <c r="Y403" s="20" t="s">
        <v>102</v>
      </c>
      <c r="Z403">
        <v>5346</v>
      </c>
      <c r="AA403">
        <v>1555.2</v>
      </c>
      <c r="AB403">
        <v>6901.2</v>
      </c>
      <c r="AC403">
        <v>131.16631617911699</v>
      </c>
      <c r="AD403">
        <v>7.23895710720819</v>
      </c>
      <c r="AE403">
        <v>7.23895710720819</v>
      </c>
      <c r="AF403">
        <v>73.802910675023099</v>
      </c>
      <c r="AG403">
        <v>34.430097249759001</v>
      </c>
      <c r="AH403">
        <v>72.8582544901723</v>
      </c>
      <c r="AI403">
        <v>34.068878409566999</v>
      </c>
      <c r="AJ403">
        <v>23.257753748092298</v>
      </c>
      <c r="AK403">
        <v>14.783350106026001</v>
      </c>
      <c r="AL403" s="20">
        <v>32.090273328222104</v>
      </c>
      <c r="AM403" s="20">
        <v>38.3727401393229</v>
      </c>
      <c r="AN403" s="20" t="s">
        <v>373</v>
      </c>
    </row>
    <row r="404" spans="1:40" x14ac:dyDescent="0.25">
      <c r="A404" s="20">
        <v>402</v>
      </c>
      <c r="B404" s="20" t="s">
        <v>471</v>
      </c>
      <c r="C404" s="20" t="s">
        <v>61</v>
      </c>
      <c r="D404">
        <v>1</v>
      </c>
      <c r="E404" s="20" t="s">
        <v>372</v>
      </c>
      <c r="F404" s="20">
        <v>-8.51</v>
      </c>
      <c r="G404" s="20">
        <v>121.89</v>
      </c>
      <c r="H404" s="20">
        <v>28</v>
      </c>
      <c r="I404" s="20">
        <v>7.73</v>
      </c>
      <c r="J404" s="20">
        <v>88</v>
      </c>
      <c r="K404" s="20">
        <v>34</v>
      </c>
      <c r="L404" s="20">
        <v>95</v>
      </c>
      <c r="M404" s="20">
        <v>0.31</v>
      </c>
      <c r="N404" s="20">
        <v>24</v>
      </c>
      <c r="O404" s="20">
        <v>10</v>
      </c>
      <c r="P404" s="20">
        <v>10</v>
      </c>
      <c r="Q404" s="20">
        <v>9</v>
      </c>
      <c r="R404">
        <v>240</v>
      </c>
      <c r="S404">
        <v>90</v>
      </c>
      <c r="T404">
        <v>62.551333333333297</v>
      </c>
      <c r="U404">
        <v>230</v>
      </c>
      <c r="V404">
        <v>72</v>
      </c>
      <c r="W404">
        <v>81.588695652173897</v>
      </c>
      <c r="X404">
        <v>90.463033286140799</v>
      </c>
      <c r="Y404" s="20" t="s">
        <v>102</v>
      </c>
      <c r="Z404">
        <v>3600</v>
      </c>
      <c r="AA404">
        <v>1440</v>
      </c>
      <c r="AB404">
        <v>5040</v>
      </c>
      <c r="AC404">
        <v>111.567244296881</v>
      </c>
      <c r="AD404">
        <v>6.7268120235368603</v>
      </c>
      <c r="AE404">
        <v>6.7268120235368603</v>
      </c>
      <c r="AF404">
        <v>53.380669836720102</v>
      </c>
      <c r="AG404">
        <v>41.769097937037699</v>
      </c>
      <c r="AH404">
        <v>30.1587789240434</v>
      </c>
      <c r="AI404">
        <v>24.613296425991699</v>
      </c>
      <c r="AJ404">
        <v>19.068719258085</v>
      </c>
      <c r="AK404">
        <v>16.7089770546179</v>
      </c>
      <c r="AL404" s="20">
        <v>33.0978916482606</v>
      </c>
      <c r="AM404" s="20">
        <v>21.723682285469</v>
      </c>
      <c r="AN404" s="20" t="s">
        <v>373</v>
      </c>
    </row>
    <row r="405" spans="1:40" x14ac:dyDescent="0.25">
      <c r="A405" s="20">
        <v>403</v>
      </c>
      <c r="B405" s="20" t="s">
        <v>472</v>
      </c>
      <c r="C405" s="20" t="s">
        <v>56</v>
      </c>
      <c r="D405">
        <v>0</v>
      </c>
      <c r="E405" s="20" t="s">
        <v>372</v>
      </c>
      <c r="F405" s="20">
        <v>42.85</v>
      </c>
      <c r="G405" s="20">
        <v>144.38300000000001</v>
      </c>
      <c r="H405" s="20">
        <v>107</v>
      </c>
      <c r="I405" s="20">
        <v>7.55</v>
      </c>
      <c r="J405" s="20">
        <v>134</v>
      </c>
      <c r="K405" s="20">
        <v>6</v>
      </c>
      <c r="L405" s="20">
        <v>324</v>
      </c>
      <c r="M405" s="20">
        <v>102.29</v>
      </c>
      <c r="N405" s="20">
        <v>15</v>
      </c>
      <c r="O405" s="20">
        <v>15</v>
      </c>
      <c r="P405" s="20">
        <v>6</v>
      </c>
      <c r="Q405" s="20">
        <v>6</v>
      </c>
      <c r="R405">
        <v>90</v>
      </c>
      <c r="S405">
        <v>90</v>
      </c>
      <c r="T405">
        <v>50.123911111111099</v>
      </c>
      <c r="U405">
        <v>54</v>
      </c>
      <c r="V405">
        <v>48</v>
      </c>
      <c r="W405">
        <v>156.63722222222199</v>
      </c>
      <c r="X405">
        <v>128.26090534528399</v>
      </c>
      <c r="Y405" s="20" t="s">
        <v>102</v>
      </c>
      <c r="Z405">
        <v>684</v>
      </c>
      <c r="AA405">
        <v>432</v>
      </c>
      <c r="AB405">
        <v>1116</v>
      </c>
      <c r="AC405">
        <v>12.7279220613579</v>
      </c>
      <c r="AD405">
        <v>4.2426406871192901</v>
      </c>
      <c r="AE405">
        <v>4.2426406871192901</v>
      </c>
      <c r="AF405">
        <v>54.317986776715003</v>
      </c>
      <c r="AG405">
        <v>45.898339124108098</v>
      </c>
      <c r="AH405">
        <v>15.8644117914343</v>
      </c>
      <c r="AI405">
        <v>14.564562358146301</v>
      </c>
      <c r="AJ405">
        <v>12.641227209443199</v>
      </c>
      <c r="AK405">
        <v>12.4011410771797</v>
      </c>
      <c r="AL405" s="20">
        <v>5.5732444410773896</v>
      </c>
      <c r="AM405" s="20">
        <v>5.5928426493152896</v>
      </c>
      <c r="AN405" s="20" t="s">
        <v>373</v>
      </c>
    </row>
    <row r="406" spans="1:40" x14ac:dyDescent="0.25">
      <c r="A406" s="20">
        <v>404</v>
      </c>
      <c r="B406" s="20" t="s">
        <v>473</v>
      </c>
      <c r="C406" s="20" t="s">
        <v>61</v>
      </c>
      <c r="D406">
        <v>0</v>
      </c>
      <c r="E406" s="20" t="s">
        <v>372</v>
      </c>
      <c r="F406" s="20">
        <v>51.22</v>
      </c>
      <c r="G406" s="20">
        <v>157.84</v>
      </c>
      <c r="H406" s="20">
        <v>46</v>
      </c>
      <c r="I406" s="20">
        <v>7.47</v>
      </c>
      <c r="J406" s="20">
        <v>211</v>
      </c>
      <c r="K406" s="20">
        <v>29</v>
      </c>
      <c r="L406" s="20">
        <v>90</v>
      </c>
      <c r="M406" s="20">
        <v>0.18</v>
      </c>
      <c r="N406" s="20">
        <v>20</v>
      </c>
      <c r="O406" s="20">
        <v>17</v>
      </c>
      <c r="P406" s="20">
        <v>9</v>
      </c>
      <c r="Q406" s="20">
        <v>9</v>
      </c>
      <c r="R406">
        <v>180</v>
      </c>
      <c r="S406">
        <v>153</v>
      </c>
      <c r="T406">
        <v>13.1026470588235</v>
      </c>
      <c r="U406">
        <v>135</v>
      </c>
      <c r="V406">
        <v>117</v>
      </c>
      <c r="W406">
        <v>22.845641025641001</v>
      </c>
      <c r="X406">
        <v>24.661938879184198</v>
      </c>
      <c r="Y406" s="20" t="s">
        <v>102</v>
      </c>
      <c r="Z406">
        <v>2754</v>
      </c>
      <c r="AA406">
        <v>1215</v>
      </c>
      <c r="AB406">
        <v>3969</v>
      </c>
      <c r="AC406">
        <v>42.690748412273102</v>
      </c>
      <c r="AD406">
        <v>6.3639610306789303</v>
      </c>
      <c r="AE406">
        <v>6.3639610306789303</v>
      </c>
      <c r="AF406">
        <v>49.255954263990603</v>
      </c>
      <c r="AG406">
        <v>43.386171817476601</v>
      </c>
      <c r="AH406">
        <v>30.247580693727301</v>
      </c>
      <c r="AI406">
        <v>27.338342288462499</v>
      </c>
      <c r="AJ406">
        <v>17.268976298759402</v>
      </c>
      <c r="AK406">
        <v>16.718011853985001</v>
      </c>
      <c r="AL406" s="20">
        <v>7.2453991705081302</v>
      </c>
      <c r="AM406" s="20">
        <v>5.6217248207289501</v>
      </c>
      <c r="AN406" s="20" t="s">
        <v>373</v>
      </c>
    </row>
    <row r="407" spans="1:40" x14ac:dyDescent="0.25">
      <c r="A407" s="20">
        <v>405</v>
      </c>
      <c r="B407" s="20" t="s">
        <v>474</v>
      </c>
      <c r="C407" s="20" t="s">
        <v>61</v>
      </c>
      <c r="D407">
        <v>1</v>
      </c>
      <c r="E407" s="20" t="s">
        <v>372</v>
      </c>
      <c r="F407" s="20">
        <v>42.811999999999998</v>
      </c>
      <c r="G407" s="20">
        <v>139.13300000000001</v>
      </c>
      <c r="H407" s="20">
        <v>17</v>
      </c>
      <c r="I407" s="20">
        <v>7.7</v>
      </c>
      <c r="J407" s="20">
        <v>200</v>
      </c>
      <c r="K407" s="20">
        <v>30</v>
      </c>
      <c r="L407" s="20">
        <v>90</v>
      </c>
      <c r="M407" s="20">
        <v>0.08</v>
      </c>
      <c r="N407" s="20">
        <v>12</v>
      </c>
      <c r="O407" s="20">
        <v>12</v>
      </c>
      <c r="P407" s="20">
        <v>9.1</v>
      </c>
      <c r="Q407" s="20">
        <v>6.15</v>
      </c>
      <c r="R407">
        <v>200.2</v>
      </c>
      <c r="S407">
        <v>73.8</v>
      </c>
      <c r="T407">
        <v>70.5237121212121</v>
      </c>
      <c r="U407">
        <v>200.2</v>
      </c>
      <c r="V407">
        <v>61.5</v>
      </c>
      <c r="W407">
        <v>84.628454545454602</v>
      </c>
      <c r="X407">
        <v>116.43483190565701</v>
      </c>
      <c r="Y407" s="20" t="s">
        <v>102</v>
      </c>
      <c r="Z407">
        <v>839.47500000000002</v>
      </c>
      <c r="AA407">
        <v>335.79</v>
      </c>
      <c r="AB407">
        <v>1175.2650000000001</v>
      </c>
      <c r="AC407">
        <v>70.871208011434405</v>
      </c>
      <c r="AD407">
        <v>28.046534990975299</v>
      </c>
      <c r="AE407">
        <v>77.411098203035493</v>
      </c>
      <c r="AF407">
        <v>61.721253750079498</v>
      </c>
      <c r="AG407">
        <v>24.9656944538829</v>
      </c>
      <c r="AH407">
        <v>20.1080448652807</v>
      </c>
      <c r="AI407">
        <v>10.3086355406015</v>
      </c>
      <c r="AJ407">
        <v>18.185832676982201</v>
      </c>
      <c r="AK407">
        <v>11.444594075697999</v>
      </c>
      <c r="AL407" s="20">
        <v>90.238994216524802</v>
      </c>
      <c r="AM407" s="20">
        <v>89.674079426164198</v>
      </c>
      <c r="AN407" s="20" t="s">
        <v>373</v>
      </c>
    </row>
    <row r="408" spans="1:40" x14ac:dyDescent="0.25">
      <c r="A408" s="20">
        <v>406</v>
      </c>
      <c r="B408" s="20" t="s">
        <v>475</v>
      </c>
      <c r="C408" s="20" t="s">
        <v>56</v>
      </c>
      <c r="D408">
        <v>0</v>
      </c>
      <c r="E408" s="20" t="s">
        <v>372</v>
      </c>
      <c r="F408" s="20">
        <v>12.994</v>
      </c>
      <c r="G408" s="20">
        <v>144.75200000000001</v>
      </c>
      <c r="H408" s="20">
        <v>59</v>
      </c>
      <c r="I408" s="20">
        <v>7.74</v>
      </c>
      <c r="J408" s="20">
        <v>312</v>
      </c>
      <c r="K408" s="20">
        <v>24</v>
      </c>
      <c r="L408" s="20">
        <v>147</v>
      </c>
      <c r="M408" s="20">
        <v>26.54</v>
      </c>
      <c r="N408" s="20">
        <v>21</v>
      </c>
      <c r="O408" s="20">
        <v>21</v>
      </c>
      <c r="P408" s="20">
        <v>10</v>
      </c>
      <c r="Q408" s="20">
        <v>7.6</v>
      </c>
      <c r="R408">
        <v>210</v>
      </c>
      <c r="S408">
        <v>159.6</v>
      </c>
      <c r="T408">
        <v>23.3253287981859</v>
      </c>
      <c r="U408">
        <v>100</v>
      </c>
      <c r="V408">
        <v>76</v>
      </c>
      <c r="W408">
        <v>102.8647</v>
      </c>
      <c r="X408">
        <v>124.258061570435</v>
      </c>
      <c r="Y408" s="20" t="s">
        <v>102</v>
      </c>
      <c r="Z408">
        <v>1064</v>
      </c>
      <c r="AA408">
        <v>456</v>
      </c>
      <c r="AB408">
        <v>1520</v>
      </c>
      <c r="AC408">
        <v>34.563564630980999</v>
      </c>
      <c r="AD408">
        <v>6.2801273872430299</v>
      </c>
      <c r="AE408">
        <v>19.646882704388499</v>
      </c>
      <c r="AF408">
        <v>65.615305536744202</v>
      </c>
      <c r="AG408">
        <v>30.995098482873601</v>
      </c>
      <c r="AH408">
        <v>24.0243195232838</v>
      </c>
      <c r="AI408">
        <v>13.726034283894601</v>
      </c>
      <c r="AJ408">
        <v>19.907770418124301</v>
      </c>
      <c r="AK408">
        <v>13.945933998285</v>
      </c>
      <c r="AL408" s="20">
        <v>29.656607909368201</v>
      </c>
      <c r="AM408" s="20">
        <v>25.581505643139899</v>
      </c>
      <c r="AN408" s="20" t="s">
        <v>373</v>
      </c>
    </row>
    <row r="409" spans="1:40" x14ac:dyDescent="0.25">
      <c r="A409" s="20">
        <v>407</v>
      </c>
      <c r="B409" s="20" t="s">
        <v>476</v>
      </c>
      <c r="C409" s="20" t="s">
        <v>61</v>
      </c>
      <c r="D409">
        <v>1</v>
      </c>
      <c r="E409" s="20" t="s">
        <v>372</v>
      </c>
      <c r="F409" s="20">
        <v>-10.477</v>
      </c>
      <c r="G409" s="20">
        <v>112.83499999999999</v>
      </c>
      <c r="H409" s="20">
        <v>20</v>
      </c>
      <c r="I409" s="20">
        <v>7.74</v>
      </c>
      <c r="J409" s="20">
        <v>278</v>
      </c>
      <c r="K409" s="20">
        <v>7</v>
      </c>
      <c r="L409" s="20">
        <v>89</v>
      </c>
      <c r="M409" s="20">
        <v>13.43</v>
      </c>
      <c r="N409" s="20">
        <v>11</v>
      </c>
      <c r="O409" s="20">
        <v>10</v>
      </c>
      <c r="P409" s="20">
        <v>16</v>
      </c>
      <c r="Q409" s="20">
        <v>15.4</v>
      </c>
      <c r="R409">
        <v>176</v>
      </c>
      <c r="S409">
        <v>154</v>
      </c>
      <c r="T409">
        <v>30.356454545454501</v>
      </c>
      <c r="U409">
        <v>112</v>
      </c>
      <c r="V409">
        <v>123.2</v>
      </c>
      <c r="W409">
        <v>59.628749999999997</v>
      </c>
      <c r="X409">
        <v>70.327701073347299</v>
      </c>
      <c r="Y409" s="20" t="s">
        <v>102</v>
      </c>
      <c r="Z409">
        <v>1724.8</v>
      </c>
      <c r="AA409">
        <v>1724.8</v>
      </c>
      <c r="AB409">
        <v>3449.6</v>
      </c>
      <c r="AC409">
        <v>33.310809056521002</v>
      </c>
      <c r="AD409">
        <v>11.1036030188403</v>
      </c>
      <c r="AE409">
        <v>11.1036030188403</v>
      </c>
      <c r="AF409">
        <v>40.683957989954401</v>
      </c>
      <c r="AG409">
        <v>49.916651777863699</v>
      </c>
      <c r="AH409">
        <v>19.111811389520799</v>
      </c>
      <c r="AI409">
        <v>20.8421301202164</v>
      </c>
      <c r="AJ409">
        <v>27.018950862455501</v>
      </c>
      <c r="AK409">
        <v>26.609677302960598</v>
      </c>
      <c r="AL409" s="20">
        <v>23.571805467761699</v>
      </c>
      <c r="AM409" s="20">
        <v>21.0384822004821</v>
      </c>
      <c r="AN409" s="20" t="s">
        <v>373</v>
      </c>
    </row>
    <row r="410" spans="1:40" x14ac:dyDescent="0.25">
      <c r="A410" s="20">
        <v>408</v>
      </c>
      <c r="B410" s="20" t="s">
        <v>477</v>
      </c>
      <c r="C410" s="20" t="s">
        <v>63</v>
      </c>
      <c r="D410">
        <v>1</v>
      </c>
      <c r="E410" s="20" t="s">
        <v>372</v>
      </c>
      <c r="F410" s="20">
        <v>43.71</v>
      </c>
      <c r="G410" s="20">
        <v>147.33000000000001</v>
      </c>
      <c r="H410" s="20">
        <v>48</v>
      </c>
      <c r="I410" s="20">
        <v>8.32</v>
      </c>
      <c r="J410" s="20">
        <v>158</v>
      </c>
      <c r="K410" s="20">
        <v>41</v>
      </c>
      <c r="L410" s="20">
        <v>24.04</v>
      </c>
      <c r="M410" s="20">
        <v>5.35</v>
      </c>
      <c r="N410" s="20">
        <v>21</v>
      </c>
      <c r="O410" s="20">
        <v>14</v>
      </c>
      <c r="P410" s="20">
        <v>10</v>
      </c>
      <c r="Q410" s="20">
        <v>10</v>
      </c>
      <c r="R410">
        <v>210</v>
      </c>
      <c r="S410">
        <v>140</v>
      </c>
      <c r="T410">
        <v>203.972959183673</v>
      </c>
      <c r="U410">
        <v>170</v>
      </c>
      <c r="V410">
        <v>130</v>
      </c>
      <c r="W410">
        <v>271.34864253393698</v>
      </c>
      <c r="X410">
        <v>266.27761021432599</v>
      </c>
      <c r="Y410" s="20" t="s">
        <v>102</v>
      </c>
      <c r="Z410">
        <v>3900</v>
      </c>
      <c r="AA410">
        <v>1700</v>
      </c>
      <c r="AB410">
        <v>5600</v>
      </c>
      <c r="AC410">
        <v>79.056941504209505</v>
      </c>
      <c r="AD410">
        <v>7.0710678118654799</v>
      </c>
      <c r="AE410">
        <v>7.0710678118654799</v>
      </c>
      <c r="AF410">
        <v>62.509051412926503</v>
      </c>
      <c r="AG410">
        <v>74.738702178060294</v>
      </c>
      <c r="AH410">
        <v>43.904624245502198</v>
      </c>
      <c r="AI410">
        <v>51.115957557014298</v>
      </c>
      <c r="AJ410">
        <v>19.2888666578332</v>
      </c>
      <c r="AK410">
        <v>20.181879792089799</v>
      </c>
      <c r="AL410" s="20">
        <v>10.6560173657892</v>
      </c>
      <c r="AM410" s="20">
        <v>10.9781714893693</v>
      </c>
      <c r="AN410" s="20" t="s">
        <v>373</v>
      </c>
    </row>
    <row r="411" spans="1:40" x14ac:dyDescent="0.25">
      <c r="A411" s="20">
        <v>409</v>
      </c>
      <c r="B411" s="20" t="s">
        <v>478</v>
      </c>
      <c r="C411" s="20" t="s">
        <v>56</v>
      </c>
      <c r="D411">
        <v>1</v>
      </c>
      <c r="E411" s="20" t="s">
        <v>372</v>
      </c>
      <c r="F411" s="20">
        <v>-23.01</v>
      </c>
      <c r="G411" s="20">
        <v>169.89</v>
      </c>
      <c r="H411" s="20">
        <v>20</v>
      </c>
      <c r="I411" s="20">
        <v>7.65</v>
      </c>
      <c r="J411" s="20">
        <v>284</v>
      </c>
      <c r="K411" s="20">
        <v>38</v>
      </c>
      <c r="L411" s="20">
        <v>261</v>
      </c>
      <c r="M411" s="20">
        <v>0.6</v>
      </c>
      <c r="N411" s="20">
        <v>23</v>
      </c>
      <c r="O411" s="20">
        <v>10</v>
      </c>
      <c r="P411" s="20">
        <v>8</v>
      </c>
      <c r="Q411" s="20">
        <v>7</v>
      </c>
      <c r="R411">
        <v>184</v>
      </c>
      <c r="S411">
        <v>70</v>
      </c>
      <c r="T411">
        <v>61.423826086956502</v>
      </c>
      <c r="U411">
        <v>104</v>
      </c>
      <c r="V411">
        <v>56</v>
      </c>
      <c r="W411">
        <v>135.84115384615399</v>
      </c>
      <c r="X411">
        <v>157.44655121645599</v>
      </c>
      <c r="Y411" s="20" t="s">
        <v>102</v>
      </c>
      <c r="Z411">
        <v>1064</v>
      </c>
      <c r="AA411">
        <v>672</v>
      </c>
      <c r="AB411">
        <v>1736</v>
      </c>
      <c r="AC411">
        <v>43.545952739606001</v>
      </c>
      <c r="AD411">
        <v>5.3150729063673303</v>
      </c>
      <c r="AE411">
        <v>5.3150729063673303</v>
      </c>
      <c r="AF411">
        <v>34.9146244925358</v>
      </c>
      <c r="AG411">
        <v>42.468891228220102</v>
      </c>
      <c r="AH411">
        <v>13.8355358297249</v>
      </c>
      <c r="AI411">
        <v>14.2194628406903</v>
      </c>
      <c r="AJ411">
        <v>15.1611574045547</v>
      </c>
      <c r="AK411">
        <v>13.7359241796556</v>
      </c>
      <c r="AL411" s="20">
        <v>12.614155510774401</v>
      </c>
      <c r="AM411" s="20">
        <v>11.1111772666086</v>
      </c>
      <c r="AN411" s="20" t="s">
        <v>373</v>
      </c>
    </row>
    <row r="412" spans="1:40" x14ac:dyDescent="0.25">
      <c r="A412" s="20">
        <v>410</v>
      </c>
      <c r="B412" s="20" t="s">
        <v>479</v>
      </c>
      <c r="C412" s="20" t="s">
        <v>61</v>
      </c>
      <c r="D412">
        <v>1</v>
      </c>
      <c r="E412" s="20" t="s">
        <v>372</v>
      </c>
      <c r="F412" s="20">
        <v>-23.36</v>
      </c>
      <c r="G412" s="20">
        <v>-70.31</v>
      </c>
      <c r="H412" s="20">
        <v>36</v>
      </c>
      <c r="I412" s="20">
        <v>8.15</v>
      </c>
      <c r="J412" s="20">
        <v>6</v>
      </c>
      <c r="K412" s="20">
        <v>22</v>
      </c>
      <c r="L412" s="20">
        <v>87</v>
      </c>
      <c r="M412" s="20">
        <v>11.51</v>
      </c>
      <c r="N412" s="20">
        <v>15</v>
      </c>
      <c r="O412" s="20">
        <v>7</v>
      </c>
      <c r="P412" s="20">
        <v>15</v>
      </c>
      <c r="Q412" s="20">
        <v>10</v>
      </c>
      <c r="R412">
        <v>225</v>
      </c>
      <c r="S412">
        <v>70</v>
      </c>
      <c r="T412">
        <v>111.108871794872</v>
      </c>
      <c r="U412">
        <v>195</v>
      </c>
      <c r="V412">
        <v>130</v>
      </c>
      <c r="W412">
        <v>128.20254437869801</v>
      </c>
      <c r="X412">
        <v>118.00304384687399</v>
      </c>
      <c r="Y412" s="20" t="s">
        <v>102</v>
      </c>
      <c r="Z412">
        <v>6300</v>
      </c>
      <c r="AA412">
        <v>1500</v>
      </c>
      <c r="AB412">
        <v>7800</v>
      </c>
      <c r="AC412">
        <v>81.1249036979398</v>
      </c>
      <c r="AD412">
        <v>33.634060117684299</v>
      </c>
      <c r="AE412">
        <v>51.295711321707998</v>
      </c>
      <c r="AF412">
        <v>104.152595932333</v>
      </c>
      <c r="AG412">
        <v>60.973584099493003</v>
      </c>
      <c r="AH412">
        <v>44.878950441842598</v>
      </c>
      <c r="AI412">
        <v>27.4804785800067</v>
      </c>
      <c r="AJ412">
        <v>29.785765255958399</v>
      </c>
      <c r="AK412">
        <v>19.600581311458299</v>
      </c>
      <c r="AL412" s="20">
        <v>80.232983720288004</v>
      </c>
      <c r="AM412" s="20">
        <v>71.235482202059998</v>
      </c>
      <c r="AN412" s="20" t="s">
        <v>373</v>
      </c>
    </row>
    <row r="413" spans="1:40" x14ac:dyDescent="0.25">
      <c r="A413" s="20">
        <v>411</v>
      </c>
      <c r="B413" s="20" t="s">
        <v>480</v>
      </c>
      <c r="C413" s="20" t="s">
        <v>63</v>
      </c>
      <c r="D413">
        <v>0</v>
      </c>
      <c r="E413" s="20" t="s">
        <v>372</v>
      </c>
      <c r="F413" s="20">
        <v>-5.7859999999999996</v>
      </c>
      <c r="G413" s="20">
        <v>154.18100000000001</v>
      </c>
      <c r="H413" s="20">
        <v>30</v>
      </c>
      <c r="I413" s="20">
        <v>7.7</v>
      </c>
      <c r="J413" s="20">
        <v>320</v>
      </c>
      <c r="K413" s="20">
        <v>39</v>
      </c>
      <c r="L413" s="20">
        <v>9</v>
      </c>
      <c r="M413" s="20">
        <v>2.15</v>
      </c>
      <c r="N413" s="20">
        <v>24</v>
      </c>
      <c r="O413" s="20">
        <v>16</v>
      </c>
      <c r="P413" s="20">
        <v>6</v>
      </c>
      <c r="Q413" s="20">
        <v>5.9</v>
      </c>
      <c r="R413">
        <v>144</v>
      </c>
      <c r="S413">
        <v>94.4</v>
      </c>
      <c r="T413">
        <v>57.3255208333333</v>
      </c>
      <c r="U413">
        <v>144</v>
      </c>
      <c r="V413">
        <v>88.5</v>
      </c>
      <c r="W413">
        <v>61.147222222222197</v>
      </c>
      <c r="X413">
        <v>64.382298324535597</v>
      </c>
      <c r="Y413" s="20" t="s">
        <v>102</v>
      </c>
      <c r="Z413">
        <v>2407.1999999999998</v>
      </c>
      <c r="AA413">
        <v>672.6</v>
      </c>
      <c r="AB413">
        <v>3079.8</v>
      </c>
      <c r="AC413">
        <v>22.788648489982901</v>
      </c>
      <c r="AD413">
        <v>4.2074338972822796</v>
      </c>
      <c r="AE413">
        <v>4.2074338972822796</v>
      </c>
      <c r="AF413">
        <v>109.33297359258199</v>
      </c>
      <c r="AG413">
        <v>51.080770019607499</v>
      </c>
      <c r="AH413">
        <v>54.068592615768203</v>
      </c>
      <c r="AI413">
        <v>28.410988384785799</v>
      </c>
      <c r="AJ413">
        <v>29.841950549177099</v>
      </c>
      <c r="AK413">
        <v>19.194532657942801</v>
      </c>
      <c r="AL413" s="20">
        <v>7.0860240085678496</v>
      </c>
      <c r="AM413" s="20">
        <v>54.728836647694202</v>
      </c>
      <c r="AN413" s="20" t="s">
        <v>373</v>
      </c>
    </row>
    <row r="414" spans="1:40" x14ac:dyDescent="0.25">
      <c r="A414" s="20">
        <v>412</v>
      </c>
      <c r="B414" s="20" t="s">
        <v>481</v>
      </c>
      <c r="C414" s="20" t="s">
        <v>61</v>
      </c>
      <c r="D414">
        <v>0</v>
      </c>
      <c r="E414" s="20" t="s">
        <v>372</v>
      </c>
      <c r="F414" s="20">
        <v>44.62</v>
      </c>
      <c r="G414" s="20">
        <v>149.32</v>
      </c>
      <c r="H414" s="20">
        <v>24</v>
      </c>
      <c r="I414" s="20">
        <v>7.86</v>
      </c>
      <c r="J414" s="20">
        <v>227</v>
      </c>
      <c r="K414" s="20">
        <v>12</v>
      </c>
      <c r="L414" s="20">
        <v>95</v>
      </c>
      <c r="M414" s="20">
        <v>0.28999999999999998</v>
      </c>
      <c r="N414" s="20">
        <v>14</v>
      </c>
      <c r="O414" s="20">
        <v>18</v>
      </c>
      <c r="P414" s="20">
        <v>14</v>
      </c>
      <c r="Q414" s="20">
        <v>12</v>
      </c>
      <c r="R414">
        <v>196</v>
      </c>
      <c r="S414">
        <v>216</v>
      </c>
      <c r="T414">
        <v>40.598333333333301</v>
      </c>
      <c r="U414">
        <v>168</v>
      </c>
      <c r="V414">
        <v>216</v>
      </c>
      <c r="W414">
        <v>47.364722222222198</v>
      </c>
      <c r="X414">
        <v>56.002702302686998</v>
      </c>
      <c r="Y414" s="20" t="s">
        <v>102</v>
      </c>
      <c r="Z414">
        <v>4368</v>
      </c>
      <c r="AA414">
        <v>336</v>
      </c>
      <c r="AB414">
        <v>4704</v>
      </c>
      <c r="AC414">
        <v>35.510561809129399</v>
      </c>
      <c r="AD414">
        <v>9.2195444572928906</v>
      </c>
      <c r="AE414">
        <v>9.2195444572928906</v>
      </c>
      <c r="AF414">
        <v>51.973989694659998</v>
      </c>
      <c r="AG414">
        <v>53.920555214132001</v>
      </c>
      <c r="AH414">
        <v>40.897363690620303</v>
      </c>
      <c r="AI414">
        <v>41.352441348403197</v>
      </c>
      <c r="AJ414">
        <v>24.63327888885</v>
      </c>
      <c r="AK414">
        <v>22.320488141897901</v>
      </c>
      <c r="AL414" s="20">
        <v>9.8025408665304798</v>
      </c>
      <c r="AM414" s="20">
        <v>33.544622691871197</v>
      </c>
      <c r="AN414" s="20" t="s">
        <v>373</v>
      </c>
    </row>
    <row r="415" spans="1:40" ht="14.5" x14ac:dyDescent="0.35">
      <c r="A415" s="20">
        <v>413</v>
      </c>
      <c r="B415" s="20" t="s">
        <v>482</v>
      </c>
      <c r="C415" s="22" t="s">
        <v>56</v>
      </c>
      <c r="D415" s="22">
        <v>1</v>
      </c>
      <c r="E415" s="20" t="s">
        <v>372</v>
      </c>
      <c r="F415" s="22">
        <v>0.72</v>
      </c>
      <c r="G415" s="22">
        <v>119.98</v>
      </c>
      <c r="H415" s="22">
        <v>16</v>
      </c>
      <c r="I415" s="20">
        <v>7.82</v>
      </c>
      <c r="J415" s="20">
        <v>53</v>
      </c>
      <c r="K415" s="20">
        <v>7</v>
      </c>
      <c r="L415" s="20">
        <v>54</v>
      </c>
      <c r="M415" s="20">
        <v>8.07</v>
      </c>
      <c r="N415" s="20">
        <v>13</v>
      </c>
      <c r="O415" s="20">
        <v>15</v>
      </c>
      <c r="P415" s="20">
        <v>15</v>
      </c>
      <c r="Q415" s="20">
        <v>10</v>
      </c>
      <c r="R415">
        <v>195</v>
      </c>
      <c r="S415">
        <v>150</v>
      </c>
      <c r="T415">
        <v>61.8277948717949</v>
      </c>
      <c r="U415">
        <v>135</v>
      </c>
      <c r="V415">
        <v>90</v>
      </c>
      <c r="W415">
        <v>148.84469135802499</v>
      </c>
      <c r="X415">
        <v>189.199295857452</v>
      </c>
      <c r="Y415" s="20" t="s">
        <v>102</v>
      </c>
      <c r="Z415">
        <v>1350</v>
      </c>
      <c r="AA415">
        <v>600</v>
      </c>
      <c r="AB415">
        <v>1950</v>
      </c>
      <c r="AC415">
        <v>23.048861143232202</v>
      </c>
      <c r="AD415">
        <v>9.0138781886599695</v>
      </c>
      <c r="AE415">
        <v>9.0138781886599695</v>
      </c>
      <c r="AF415">
        <v>50.977454903252401</v>
      </c>
      <c r="AG415">
        <v>43.931636341130897</v>
      </c>
      <c r="AH415">
        <v>21.614616545124299</v>
      </c>
      <c r="AI415">
        <v>16.582873081994698</v>
      </c>
      <c r="AJ415">
        <v>26.597817036295201</v>
      </c>
      <c r="AK415">
        <v>18.588721492892098</v>
      </c>
      <c r="AL415" s="20">
        <v>4.9415502476449698</v>
      </c>
      <c r="AM415" s="20">
        <v>4.9453674241657701</v>
      </c>
      <c r="AN415" s="20" t="s">
        <v>373</v>
      </c>
    </row>
    <row r="416" spans="1:40" ht="14.5" x14ac:dyDescent="0.35">
      <c r="A416" s="20">
        <v>414</v>
      </c>
      <c r="B416" s="20" t="s">
        <v>483</v>
      </c>
      <c r="C416" s="22" t="s">
        <v>61</v>
      </c>
      <c r="D416" s="22">
        <v>1</v>
      </c>
      <c r="E416" s="20" t="s">
        <v>372</v>
      </c>
      <c r="F416" s="22">
        <v>-0.94599999999999995</v>
      </c>
      <c r="G416" s="22">
        <v>136.941</v>
      </c>
      <c r="H416" s="22">
        <v>20</v>
      </c>
      <c r="I416" s="20">
        <v>8.14</v>
      </c>
      <c r="J416" s="20">
        <v>109</v>
      </c>
      <c r="K416" s="20">
        <v>17</v>
      </c>
      <c r="L416" s="20">
        <v>69</v>
      </c>
      <c r="M416" s="20">
        <v>0.54</v>
      </c>
      <c r="N416" s="20">
        <v>14</v>
      </c>
      <c r="O416" s="20">
        <v>19</v>
      </c>
      <c r="P416" s="20">
        <v>20</v>
      </c>
      <c r="Q416" s="20">
        <v>7.83</v>
      </c>
      <c r="R416">
        <v>280</v>
      </c>
      <c r="S416">
        <v>148.77000000000001</v>
      </c>
      <c r="T416">
        <v>113.004248120301</v>
      </c>
      <c r="U416">
        <v>220</v>
      </c>
      <c r="V416">
        <v>148.77000000000001</v>
      </c>
      <c r="W416">
        <v>143.82358851674601</v>
      </c>
      <c r="X416">
        <v>174.60330434565199</v>
      </c>
      <c r="Y416" s="20" t="s">
        <v>102</v>
      </c>
      <c r="Z416">
        <v>2975.4</v>
      </c>
      <c r="AA416">
        <v>1409.4</v>
      </c>
      <c r="AB416">
        <v>4384.8</v>
      </c>
      <c r="AC416">
        <v>70.109394698570895</v>
      </c>
      <c r="AD416">
        <v>10.739051401311</v>
      </c>
      <c r="AE416">
        <v>30.2543753034169</v>
      </c>
      <c r="AF416">
        <v>81.608812282100402</v>
      </c>
      <c r="AG416">
        <v>53.375578389755702</v>
      </c>
      <c r="AH416">
        <v>47.593805323962798</v>
      </c>
      <c r="AI416">
        <v>26.240152401266901</v>
      </c>
      <c r="AJ416">
        <v>37.244955003407597</v>
      </c>
      <c r="AK416">
        <v>15.5257245170517</v>
      </c>
      <c r="AL416" s="20">
        <v>56.046290161347898</v>
      </c>
      <c r="AM416" s="20">
        <v>55.539177212486699</v>
      </c>
      <c r="AN416" s="20" t="s">
        <v>373</v>
      </c>
    </row>
    <row r="417" spans="1:40" ht="14.5" x14ac:dyDescent="0.35">
      <c r="A417" s="20">
        <v>415</v>
      </c>
      <c r="B417" s="20" t="s">
        <v>484</v>
      </c>
      <c r="C417" s="22" t="s">
        <v>61</v>
      </c>
      <c r="D417" s="22">
        <v>1</v>
      </c>
      <c r="E417" s="20" t="s">
        <v>372</v>
      </c>
      <c r="F417" s="22">
        <v>-9.7379999999999995</v>
      </c>
      <c r="G417" s="22">
        <v>-79.710999999999999</v>
      </c>
      <c r="H417" s="22">
        <v>10</v>
      </c>
      <c r="I417" s="20">
        <v>7.49</v>
      </c>
      <c r="J417" s="20">
        <v>335</v>
      </c>
      <c r="K417" s="20">
        <v>14</v>
      </c>
      <c r="L417" s="20">
        <v>88</v>
      </c>
      <c r="M417" s="20">
        <v>0.68</v>
      </c>
      <c r="N417" s="20">
        <v>19</v>
      </c>
      <c r="O417" s="20">
        <v>13</v>
      </c>
      <c r="P417" s="20">
        <v>10</v>
      </c>
      <c r="Q417" s="20">
        <v>7</v>
      </c>
      <c r="R417">
        <v>190</v>
      </c>
      <c r="S417">
        <v>91</v>
      </c>
      <c r="T417">
        <v>38.241578947368403</v>
      </c>
      <c r="U417">
        <v>140</v>
      </c>
      <c r="V417">
        <v>91</v>
      </c>
      <c r="W417">
        <v>51.899285714285703</v>
      </c>
      <c r="X417">
        <v>51.570013242411399</v>
      </c>
      <c r="Y417" s="20" t="s">
        <v>102</v>
      </c>
      <c r="Z417">
        <v>2590</v>
      </c>
      <c r="AA417">
        <v>1470</v>
      </c>
      <c r="AB417">
        <v>4060</v>
      </c>
      <c r="AC417">
        <v>55.111251119893801</v>
      </c>
      <c r="AD417">
        <v>6.1032778078668501</v>
      </c>
      <c r="AE417">
        <v>6.1032778078668501</v>
      </c>
      <c r="AF417">
        <v>56.320573814933802</v>
      </c>
      <c r="AG417">
        <v>38.562313913165802</v>
      </c>
      <c r="AH417">
        <v>27.8215797735437</v>
      </c>
      <c r="AI417">
        <v>19.226857821959101</v>
      </c>
      <c r="AJ417">
        <v>19.368787036421701</v>
      </c>
      <c r="AK417">
        <v>13.4009188736808</v>
      </c>
      <c r="AL417" s="20">
        <v>32.3717561667575</v>
      </c>
      <c r="AM417" s="20">
        <v>20.228962560645599</v>
      </c>
      <c r="AN417" s="20" t="s">
        <v>373</v>
      </c>
    </row>
    <row r="418" spans="1:40" ht="14.5" x14ac:dyDescent="0.35">
      <c r="A418" s="20">
        <v>416</v>
      </c>
      <c r="B418" s="20" t="s">
        <v>485</v>
      </c>
      <c r="C418" s="22" t="s">
        <v>61</v>
      </c>
      <c r="D418" s="22">
        <v>1</v>
      </c>
      <c r="E418" s="20" t="s">
        <v>372</v>
      </c>
      <c r="F418" s="22">
        <v>51.56</v>
      </c>
      <c r="G418" s="22">
        <v>-177.63</v>
      </c>
      <c r="H418" s="22">
        <v>28</v>
      </c>
      <c r="I418" s="20">
        <v>7.86</v>
      </c>
      <c r="J418" s="20">
        <v>265</v>
      </c>
      <c r="K418" s="20">
        <v>15</v>
      </c>
      <c r="L418" s="20">
        <v>84</v>
      </c>
      <c r="M418" s="20">
        <v>0.62</v>
      </c>
      <c r="N418" s="20">
        <v>25</v>
      </c>
      <c r="O418" s="20">
        <v>13</v>
      </c>
      <c r="P418" s="20">
        <v>13</v>
      </c>
      <c r="Q418" s="20">
        <v>14.1</v>
      </c>
      <c r="R418">
        <v>325</v>
      </c>
      <c r="S418">
        <v>183.3</v>
      </c>
      <c r="T418">
        <v>31.9503076923077</v>
      </c>
      <c r="U418">
        <v>182</v>
      </c>
      <c r="V418">
        <v>155.1</v>
      </c>
      <c r="W418">
        <v>67.427597402597399</v>
      </c>
      <c r="X418">
        <v>70.874869144566006</v>
      </c>
      <c r="Y418" s="20" t="s">
        <v>102</v>
      </c>
      <c r="Z418">
        <v>5132.3999999999996</v>
      </c>
      <c r="AA418">
        <v>1099.8</v>
      </c>
      <c r="AB418">
        <v>6232.2</v>
      </c>
      <c r="AC418">
        <v>20.735295994993699</v>
      </c>
      <c r="AD418">
        <v>9.5891866182695509</v>
      </c>
      <c r="AE418">
        <v>9.5891866182695509</v>
      </c>
      <c r="AF418">
        <v>86.921584178457806</v>
      </c>
      <c r="AG418">
        <v>56.168424836619302</v>
      </c>
      <c r="AH418">
        <v>39.771738271695902</v>
      </c>
      <c r="AI418">
        <v>30.9513154846186</v>
      </c>
      <c r="AJ418">
        <v>25.7206724103476</v>
      </c>
      <c r="AK418">
        <v>26.238381527193699</v>
      </c>
      <c r="AL418" s="20">
        <v>7.03459592727258</v>
      </c>
      <c r="AM418" s="20">
        <v>7.3502033230380803</v>
      </c>
      <c r="AN418" s="20" t="s">
        <v>373</v>
      </c>
    </row>
    <row r="419" spans="1:40" x14ac:dyDescent="0.25">
      <c r="A419" s="20">
        <v>417</v>
      </c>
      <c r="B419" s="20" t="s">
        <v>486</v>
      </c>
      <c r="C419" s="20" t="s">
        <v>56</v>
      </c>
      <c r="D419">
        <v>1</v>
      </c>
      <c r="E419" s="20" t="s">
        <v>372</v>
      </c>
      <c r="F419" s="20">
        <v>-12.58</v>
      </c>
      <c r="G419" s="20">
        <v>166.68</v>
      </c>
      <c r="H419" s="20">
        <v>28</v>
      </c>
      <c r="I419" s="20">
        <v>7.69</v>
      </c>
      <c r="J419" s="20">
        <v>178</v>
      </c>
      <c r="K419" s="20">
        <v>63</v>
      </c>
      <c r="L419" s="20">
        <v>122</v>
      </c>
      <c r="M419" s="20">
        <v>2.42</v>
      </c>
      <c r="N419" s="20">
        <v>23</v>
      </c>
      <c r="O419" s="20">
        <v>10</v>
      </c>
      <c r="P419" s="20">
        <v>9</v>
      </c>
      <c r="Q419" s="20">
        <v>8.1999999999999993</v>
      </c>
      <c r="R419">
        <v>207</v>
      </c>
      <c r="S419">
        <v>82</v>
      </c>
      <c r="T419">
        <v>39.368086956521701</v>
      </c>
      <c r="U419">
        <v>135</v>
      </c>
      <c r="V419">
        <v>73.8</v>
      </c>
      <c r="W419">
        <v>67.071555555555605</v>
      </c>
      <c r="X419">
        <v>75.497096800428807</v>
      </c>
      <c r="Y419" s="20" t="s">
        <v>102</v>
      </c>
      <c r="Z419">
        <v>1918.8</v>
      </c>
      <c r="AA419">
        <v>811.8</v>
      </c>
      <c r="AB419">
        <v>2730.6</v>
      </c>
      <c r="AC419">
        <v>57.854472601519802</v>
      </c>
      <c r="AD419">
        <v>29.050645431728402</v>
      </c>
      <c r="AE419">
        <v>49.669507748718402</v>
      </c>
      <c r="AF419">
        <v>45.185143428956799</v>
      </c>
      <c r="AG419">
        <v>49.799967186757002</v>
      </c>
      <c r="AH419">
        <v>16.594520186830799</v>
      </c>
      <c r="AI419">
        <v>16.7911191237962</v>
      </c>
      <c r="AJ419">
        <v>17.362032035432001</v>
      </c>
      <c r="AK419">
        <v>16.271860233115198</v>
      </c>
      <c r="AL419" s="20">
        <v>62.267359049344599</v>
      </c>
      <c r="AM419" s="20">
        <v>70.967082057105898</v>
      </c>
      <c r="AN419" s="20" t="s">
        <v>373</v>
      </c>
    </row>
    <row r="420" spans="1:40" x14ac:dyDescent="0.25">
      <c r="A420" s="20">
        <v>418</v>
      </c>
      <c r="B420" s="20" t="s">
        <v>487</v>
      </c>
      <c r="C420" s="20" t="s">
        <v>56</v>
      </c>
      <c r="D420">
        <v>0</v>
      </c>
      <c r="E420" s="20" t="s">
        <v>372</v>
      </c>
      <c r="F420" s="20">
        <v>-22.1</v>
      </c>
      <c r="G420" s="20">
        <v>-176.77</v>
      </c>
      <c r="H420" s="20">
        <v>167</v>
      </c>
      <c r="I420" s="20">
        <v>7.69</v>
      </c>
      <c r="J420" s="20">
        <v>16</v>
      </c>
      <c r="K420" s="20">
        <v>81</v>
      </c>
      <c r="L420" s="20">
        <v>255</v>
      </c>
      <c r="M420" s="20">
        <v>99.83</v>
      </c>
      <c r="N420" s="20">
        <v>17</v>
      </c>
      <c r="O420" s="20">
        <v>17</v>
      </c>
      <c r="P420" s="20">
        <v>8</v>
      </c>
      <c r="Q420" s="20">
        <v>8</v>
      </c>
      <c r="R420">
        <v>136</v>
      </c>
      <c r="S420">
        <v>136</v>
      </c>
      <c r="T420">
        <v>35.863667820069203</v>
      </c>
      <c r="U420">
        <v>72</v>
      </c>
      <c r="V420">
        <v>72</v>
      </c>
      <c r="W420">
        <v>127.95802469135801</v>
      </c>
      <c r="X420">
        <v>143.49626699523</v>
      </c>
      <c r="Y420" s="20" t="s">
        <v>102</v>
      </c>
      <c r="Z420">
        <v>896</v>
      </c>
      <c r="AA420">
        <v>704</v>
      </c>
      <c r="AB420">
        <v>1600</v>
      </c>
      <c r="AC420">
        <v>34.4093010681705</v>
      </c>
      <c r="AD420">
        <v>5.6568542494923797</v>
      </c>
      <c r="AE420">
        <v>12.6491106406735</v>
      </c>
      <c r="AF420">
        <v>43.731180072508003</v>
      </c>
      <c r="AG420">
        <v>51.493076276037698</v>
      </c>
      <c r="AH420">
        <v>15.625108066063399</v>
      </c>
      <c r="AI420">
        <v>17.266435648933001</v>
      </c>
      <c r="AJ420">
        <v>15.412144213773299</v>
      </c>
      <c r="AK420">
        <v>16.177485861034601</v>
      </c>
      <c r="AL420" s="20">
        <v>25.0173814107312</v>
      </c>
      <c r="AM420" s="20">
        <v>21.336410004028298</v>
      </c>
      <c r="AN420" s="20" t="s">
        <v>373</v>
      </c>
    </row>
    <row r="421" spans="1:40" x14ac:dyDescent="0.25">
      <c r="A421" s="20">
        <v>419</v>
      </c>
      <c r="B421" s="20" t="s">
        <v>488</v>
      </c>
      <c r="C421" s="20" t="s">
        <v>63</v>
      </c>
      <c r="D421">
        <v>0</v>
      </c>
      <c r="E421" s="20" t="s">
        <v>372</v>
      </c>
      <c r="F421" s="20">
        <v>35.195999999999998</v>
      </c>
      <c r="G421" s="20">
        <v>86.977999999999994</v>
      </c>
      <c r="H421" s="20">
        <v>11.67</v>
      </c>
      <c r="I421" s="20">
        <v>7.48</v>
      </c>
      <c r="J421" s="20">
        <v>79</v>
      </c>
      <c r="K421" s="20">
        <v>82</v>
      </c>
      <c r="L421" s="20">
        <v>2</v>
      </c>
      <c r="M421" s="20">
        <v>0.02</v>
      </c>
      <c r="N421" s="20">
        <v>34</v>
      </c>
      <c r="O421" s="20">
        <v>6</v>
      </c>
      <c r="P421" s="20">
        <v>6</v>
      </c>
      <c r="Q421" s="20">
        <v>3.36</v>
      </c>
      <c r="R421">
        <v>204</v>
      </c>
      <c r="S421">
        <v>20.16</v>
      </c>
      <c r="T421">
        <v>161.69382352941199</v>
      </c>
      <c r="U421">
        <v>138</v>
      </c>
      <c r="V421">
        <v>20.16</v>
      </c>
      <c r="W421">
        <v>239.02565217391299</v>
      </c>
      <c r="X421">
        <v>199.69084507661501</v>
      </c>
      <c r="Y421" s="20" t="s">
        <v>102</v>
      </c>
      <c r="Z421">
        <v>504</v>
      </c>
      <c r="AA421">
        <v>221.76</v>
      </c>
      <c r="AB421">
        <v>725.76</v>
      </c>
      <c r="AC421">
        <v>56.8862021935021</v>
      </c>
      <c r="AD421">
        <v>3.4383717076546598</v>
      </c>
      <c r="AE421">
        <v>3.4383717076546598</v>
      </c>
      <c r="AF421">
        <v>48.801288661373903</v>
      </c>
      <c r="AG421">
        <v>18.1668110965661</v>
      </c>
      <c r="AH421">
        <v>16.553103949065601</v>
      </c>
      <c r="AI421">
        <v>7.4697448761027498</v>
      </c>
      <c r="AJ421">
        <v>12.1928819298048</v>
      </c>
      <c r="AK421">
        <v>6.6421100989196002</v>
      </c>
      <c r="AL421" s="20">
        <v>6.4777693074082201</v>
      </c>
      <c r="AM421" s="20">
        <v>10.866044772593201</v>
      </c>
      <c r="AN421" s="20" t="s">
        <v>373</v>
      </c>
    </row>
    <row r="422" spans="1:40" x14ac:dyDescent="0.25">
      <c r="A422" s="20">
        <v>420</v>
      </c>
      <c r="B422" s="20" t="s">
        <v>489</v>
      </c>
      <c r="C422" s="20" t="s">
        <v>61</v>
      </c>
      <c r="D422">
        <v>1</v>
      </c>
      <c r="E422" s="20" t="s">
        <v>372</v>
      </c>
      <c r="F422" s="20">
        <v>54.841000000000001</v>
      </c>
      <c r="G422" s="20">
        <v>162.035</v>
      </c>
      <c r="H422" s="20">
        <v>34</v>
      </c>
      <c r="I422" s="20">
        <v>7.75</v>
      </c>
      <c r="J422" s="20">
        <v>202</v>
      </c>
      <c r="K422" s="20">
        <v>23</v>
      </c>
      <c r="L422" s="20">
        <v>74</v>
      </c>
      <c r="M422" s="20">
        <v>4.6900000000000004</v>
      </c>
      <c r="N422" s="20">
        <v>17</v>
      </c>
      <c r="O422" s="20">
        <v>16</v>
      </c>
      <c r="P422" s="20">
        <v>12</v>
      </c>
      <c r="Q422" s="20">
        <v>10</v>
      </c>
      <c r="R422">
        <v>204</v>
      </c>
      <c r="S422">
        <v>160</v>
      </c>
      <c r="T422">
        <v>25.277316176470599</v>
      </c>
      <c r="U422">
        <v>156</v>
      </c>
      <c r="V422">
        <v>120</v>
      </c>
      <c r="W422">
        <v>44.073269230769199</v>
      </c>
      <c r="X422">
        <v>43.146586264989203</v>
      </c>
      <c r="Y422" s="20" t="s">
        <v>102</v>
      </c>
      <c r="Z422">
        <v>4560</v>
      </c>
      <c r="AA422">
        <v>1200</v>
      </c>
      <c r="AB422">
        <v>5760</v>
      </c>
      <c r="AC422">
        <v>18.681541692269398</v>
      </c>
      <c r="AD422">
        <v>7.8102496759066504</v>
      </c>
      <c r="AE422">
        <v>7.8102496759066504</v>
      </c>
      <c r="AF422">
        <v>64.416100929893901</v>
      </c>
      <c r="AG422">
        <v>56.641545088331299</v>
      </c>
      <c r="AH422">
        <v>42.275821843282799</v>
      </c>
      <c r="AI422">
        <v>36.751587055859801</v>
      </c>
      <c r="AJ422">
        <v>23.139588446808201</v>
      </c>
      <c r="AK422">
        <v>18.9026632648822</v>
      </c>
      <c r="AL422" s="20">
        <v>13.9197916148195</v>
      </c>
      <c r="AM422" s="20">
        <v>34.238727402168401</v>
      </c>
      <c r="AN422" s="20" t="s">
        <v>373</v>
      </c>
    </row>
    <row r="423" spans="1:40" x14ac:dyDescent="0.25">
      <c r="A423" s="20">
        <v>421</v>
      </c>
      <c r="B423" s="20" t="s">
        <v>490</v>
      </c>
      <c r="C423" s="20" t="s">
        <v>63</v>
      </c>
      <c r="D423">
        <v>0</v>
      </c>
      <c r="E423" s="20" t="s">
        <v>372</v>
      </c>
      <c r="F423" s="20">
        <v>-22.3</v>
      </c>
      <c r="G423" s="20">
        <v>170.91</v>
      </c>
      <c r="H423" s="20">
        <v>101</v>
      </c>
      <c r="I423" s="20">
        <v>7.43</v>
      </c>
      <c r="J423" s="20">
        <v>336</v>
      </c>
      <c r="K423" s="20">
        <v>47</v>
      </c>
      <c r="L423" s="20">
        <v>160</v>
      </c>
      <c r="M423" s="20">
        <v>68.08</v>
      </c>
      <c r="N423" s="20">
        <v>19</v>
      </c>
      <c r="O423" s="20">
        <v>11</v>
      </c>
      <c r="P423" s="20">
        <v>10</v>
      </c>
      <c r="Q423" s="20">
        <v>10</v>
      </c>
      <c r="R423">
        <v>190</v>
      </c>
      <c r="S423">
        <v>110</v>
      </c>
      <c r="T423">
        <v>13.028516746411499</v>
      </c>
      <c r="U423">
        <v>120</v>
      </c>
      <c r="V423">
        <v>100</v>
      </c>
      <c r="W423">
        <v>22.691333333333301</v>
      </c>
      <c r="X423">
        <v>32.085907409457903</v>
      </c>
      <c r="Y423" s="20" t="s">
        <v>102</v>
      </c>
      <c r="Z423">
        <v>2000</v>
      </c>
      <c r="AA423">
        <v>600</v>
      </c>
      <c r="AB423">
        <v>2600</v>
      </c>
      <c r="AC423">
        <v>15.8113883008419</v>
      </c>
      <c r="AD423">
        <v>7.0710678118654799</v>
      </c>
      <c r="AE423">
        <v>25.495097567963899</v>
      </c>
      <c r="AF423">
        <v>32.508417079924698</v>
      </c>
      <c r="AG423">
        <v>31.1093902657773</v>
      </c>
      <c r="AH423">
        <v>20.186491865562999</v>
      </c>
      <c r="AI423">
        <v>19.530566444287299</v>
      </c>
      <c r="AJ423">
        <v>17.362724568554501</v>
      </c>
      <c r="AK423">
        <v>16.925484169716</v>
      </c>
      <c r="AL423" s="20">
        <v>40.263389475924697</v>
      </c>
      <c r="AM423" s="20">
        <v>33.547189700033002</v>
      </c>
      <c r="AN423" s="20" t="s">
        <v>373</v>
      </c>
    </row>
    <row r="424" spans="1:40" x14ac:dyDescent="0.25">
      <c r="A424" s="20">
        <v>422</v>
      </c>
      <c r="B424" s="20" t="s">
        <v>491</v>
      </c>
      <c r="C424" s="20" t="s">
        <v>63</v>
      </c>
      <c r="D424">
        <v>0</v>
      </c>
      <c r="E424" s="20" t="s">
        <v>372</v>
      </c>
      <c r="F424" s="20">
        <v>-62.88</v>
      </c>
      <c r="G424" s="20">
        <v>149.53</v>
      </c>
      <c r="H424" s="20">
        <v>10</v>
      </c>
      <c r="I424" s="20">
        <v>8.08</v>
      </c>
      <c r="J424" s="20">
        <v>99</v>
      </c>
      <c r="K424" s="20">
        <v>74</v>
      </c>
      <c r="L424" s="20">
        <v>-18</v>
      </c>
      <c r="M424" s="20">
        <v>3.58</v>
      </c>
      <c r="N424" s="20">
        <v>32</v>
      </c>
      <c r="O424" s="20">
        <v>8</v>
      </c>
      <c r="P424" s="20">
        <v>12</v>
      </c>
      <c r="Q424" s="20">
        <v>2.67</v>
      </c>
      <c r="R424">
        <v>384</v>
      </c>
      <c r="S424">
        <v>21.36</v>
      </c>
      <c r="T424">
        <v>487.09867187499998</v>
      </c>
      <c r="U424">
        <v>336</v>
      </c>
      <c r="V424">
        <v>21.36</v>
      </c>
      <c r="W424">
        <v>556.68419642857202</v>
      </c>
      <c r="X424">
        <v>720.82359962698501</v>
      </c>
      <c r="Y424" s="20" t="s">
        <v>102</v>
      </c>
      <c r="Z424">
        <v>929.16</v>
      </c>
      <c r="AA424">
        <v>224.28</v>
      </c>
      <c r="AB424">
        <v>1153.44</v>
      </c>
      <c r="AC424">
        <v>249.913671144657</v>
      </c>
      <c r="AD424">
        <v>18.049438356912901</v>
      </c>
      <c r="AE424">
        <v>30.0296890593293</v>
      </c>
      <c r="AF424">
        <v>94.962798370144796</v>
      </c>
      <c r="AG424">
        <v>10.446428838796001</v>
      </c>
      <c r="AH424">
        <v>29.096998455333299</v>
      </c>
      <c r="AI424">
        <v>4.5002461927268298</v>
      </c>
      <c r="AJ424">
        <v>24.820999945874402</v>
      </c>
      <c r="AK424">
        <v>4.9762469310785198</v>
      </c>
      <c r="AL424" s="20">
        <v>45.922639227727302</v>
      </c>
      <c r="AM424" s="20">
        <v>55.366865107751899</v>
      </c>
      <c r="AN424" s="20" t="s">
        <v>373</v>
      </c>
    </row>
    <row r="425" spans="1:40" x14ac:dyDescent="0.25">
      <c r="A425" s="20">
        <v>423</v>
      </c>
      <c r="B425" s="20" t="s">
        <v>492</v>
      </c>
      <c r="C425" s="20" t="s">
        <v>63</v>
      </c>
      <c r="D425">
        <v>1</v>
      </c>
      <c r="E425" s="20" t="s">
        <v>372</v>
      </c>
      <c r="F425" s="20">
        <v>22.31</v>
      </c>
      <c r="G425" s="20">
        <v>125.31</v>
      </c>
      <c r="H425" s="20">
        <v>33</v>
      </c>
      <c r="I425" s="20">
        <v>7.44</v>
      </c>
      <c r="J425" s="20">
        <v>139</v>
      </c>
      <c r="K425" s="20">
        <v>82</v>
      </c>
      <c r="L425" s="20">
        <v>1</v>
      </c>
      <c r="M425" s="20">
        <v>5.22</v>
      </c>
      <c r="N425" s="20">
        <v>35</v>
      </c>
      <c r="O425" s="20">
        <v>11</v>
      </c>
      <c r="P425" s="20">
        <v>6</v>
      </c>
      <c r="Q425" s="20">
        <v>5.0999999999999996</v>
      </c>
      <c r="R425">
        <v>210</v>
      </c>
      <c r="S425">
        <v>56.1</v>
      </c>
      <c r="T425">
        <v>29.8616363636364</v>
      </c>
      <c r="U425">
        <v>144</v>
      </c>
      <c r="V425">
        <v>51</v>
      </c>
      <c r="W425">
        <v>47.903041666666702</v>
      </c>
      <c r="X425">
        <v>96.562228136044595</v>
      </c>
      <c r="Y425" s="20" t="s">
        <v>102</v>
      </c>
      <c r="Z425">
        <v>428.4</v>
      </c>
      <c r="AA425">
        <v>244.8</v>
      </c>
      <c r="AB425">
        <v>673.2</v>
      </c>
      <c r="AC425">
        <v>100.00411241544001</v>
      </c>
      <c r="AD425">
        <v>18.1003453005737</v>
      </c>
      <c r="AE425">
        <v>19.990560272288501</v>
      </c>
      <c r="AF425">
        <v>35.6710285372816</v>
      </c>
      <c r="AG425">
        <v>7.90059744659243</v>
      </c>
      <c r="AH425">
        <v>41.492561536783903</v>
      </c>
      <c r="AI425">
        <v>7.9404749013508802</v>
      </c>
      <c r="AJ425">
        <v>11.5266245406113</v>
      </c>
      <c r="AK425">
        <v>8.4774289159186704</v>
      </c>
      <c r="AL425" s="20">
        <v>25.354528997005598</v>
      </c>
      <c r="AM425" s="20">
        <v>22.8610055929305</v>
      </c>
      <c r="AN425" s="20" t="s">
        <v>373</v>
      </c>
    </row>
    <row r="426" spans="1:40" x14ac:dyDescent="0.25">
      <c r="A426" s="20">
        <v>424</v>
      </c>
      <c r="B426" s="20" t="s">
        <v>493</v>
      </c>
      <c r="C426" s="20" t="s">
        <v>56</v>
      </c>
      <c r="D426">
        <v>0</v>
      </c>
      <c r="E426" s="20" t="s">
        <v>372</v>
      </c>
      <c r="F426" s="20">
        <v>16.059999999999999</v>
      </c>
      <c r="G426" s="20">
        <v>-96.93</v>
      </c>
      <c r="H426" s="20">
        <v>40</v>
      </c>
      <c r="I426" s="20">
        <v>7.38</v>
      </c>
      <c r="J426" s="20">
        <v>300</v>
      </c>
      <c r="K426" s="20">
        <v>49</v>
      </c>
      <c r="L426" s="20">
        <v>282</v>
      </c>
      <c r="M426" s="20">
        <v>19.39</v>
      </c>
      <c r="N426" s="20">
        <v>17</v>
      </c>
      <c r="O426" s="20">
        <v>14</v>
      </c>
      <c r="P426" s="20">
        <v>5</v>
      </c>
      <c r="Q426" s="20">
        <v>4.2</v>
      </c>
      <c r="R426">
        <v>85</v>
      </c>
      <c r="S426">
        <v>58.8</v>
      </c>
      <c r="T426">
        <v>48.117731092436998</v>
      </c>
      <c r="U426">
        <v>75</v>
      </c>
      <c r="V426">
        <v>46.2</v>
      </c>
      <c r="W426">
        <v>69.406181818181807</v>
      </c>
      <c r="X426">
        <v>72.932533186498503</v>
      </c>
      <c r="Y426" s="20" t="s">
        <v>102</v>
      </c>
      <c r="Z426">
        <v>567</v>
      </c>
      <c r="AA426">
        <v>567</v>
      </c>
      <c r="AB426">
        <v>1134</v>
      </c>
      <c r="AC426">
        <v>3.2649655434629001</v>
      </c>
      <c r="AD426">
        <v>6.7779052811322096</v>
      </c>
      <c r="AE426">
        <v>3.2649655434629001</v>
      </c>
      <c r="AF426">
        <v>50.393953824050598</v>
      </c>
      <c r="AG426">
        <v>33.757503824207397</v>
      </c>
      <c r="AH426">
        <v>16.647759577396702</v>
      </c>
      <c r="AI426">
        <v>12.338060484834999</v>
      </c>
      <c r="AJ426">
        <v>10.4785536529306</v>
      </c>
      <c r="AK426">
        <v>8.7617028508656603</v>
      </c>
      <c r="AL426" s="20">
        <v>6.2740421523926697</v>
      </c>
      <c r="AM426" s="20">
        <v>6.6927440665245799</v>
      </c>
      <c r="AN426" s="20" t="s">
        <v>373</v>
      </c>
    </row>
    <row r="427" spans="1:40" x14ac:dyDescent="0.25">
      <c r="A427" s="20">
        <v>425</v>
      </c>
      <c r="B427" s="20" t="s">
        <v>494</v>
      </c>
      <c r="C427" s="20" t="s">
        <v>61</v>
      </c>
      <c r="D427">
        <v>1</v>
      </c>
      <c r="E427" s="20" t="s">
        <v>372</v>
      </c>
      <c r="F427" s="20">
        <v>-16.288</v>
      </c>
      <c r="G427" s="20">
        <v>168.28800000000001</v>
      </c>
      <c r="H427" s="20">
        <v>14</v>
      </c>
      <c r="I427" s="20">
        <v>7.41</v>
      </c>
      <c r="J427" s="20">
        <v>170</v>
      </c>
      <c r="K427" s="20">
        <v>40</v>
      </c>
      <c r="L427" s="20">
        <v>67</v>
      </c>
      <c r="M427" s="20">
        <v>0.05</v>
      </c>
      <c r="N427" s="20">
        <v>23</v>
      </c>
      <c r="O427" s="20">
        <v>10</v>
      </c>
      <c r="P427" s="20">
        <v>10</v>
      </c>
      <c r="Q427" s="20">
        <v>6.2</v>
      </c>
      <c r="R427">
        <v>230</v>
      </c>
      <c r="S427">
        <v>62</v>
      </c>
      <c r="T427">
        <v>29.086260869565201</v>
      </c>
      <c r="U427">
        <v>150</v>
      </c>
      <c r="V427">
        <v>37.200000000000003</v>
      </c>
      <c r="W427">
        <v>74.331555555555596</v>
      </c>
      <c r="X427">
        <v>73.795037918800304</v>
      </c>
      <c r="Y427" s="20" t="s">
        <v>102</v>
      </c>
      <c r="Z427">
        <v>1426</v>
      </c>
      <c r="AA427">
        <v>682</v>
      </c>
      <c r="AB427">
        <v>2108</v>
      </c>
      <c r="AC427">
        <v>95.454125107299603</v>
      </c>
      <c r="AD427">
        <v>5.8830264320330903</v>
      </c>
      <c r="AE427">
        <v>26.673769887288199</v>
      </c>
      <c r="AF427">
        <v>51.7507396473518</v>
      </c>
      <c r="AG427">
        <v>22.284337882158798</v>
      </c>
      <c r="AH427">
        <v>28.941916263596902</v>
      </c>
      <c r="AI427">
        <v>14.0598108061518</v>
      </c>
      <c r="AJ427">
        <v>18.681825488332301</v>
      </c>
      <c r="AK427">
        <v>11.159981673918301</v>
      </c>
      <c r="AL427" s="20">
        <v>73.913631120450304</v>
      </c>
      <c r="AM427" s="20">
        <v>49.305603592796601</v>
      </c>
      <c r="AN427" s="20" t="s">
        <v>373</v>
      </c>
    </row>
    <row r="428" spans="1:40" x14ac:dyDescent="0.25">
      <c r="A428" s="20">
        <v>426</v>
      </c>
      <c r="B428" s="20" t="s">
        <v>495</v>
      </c>
      <c r="C428" s="20" t="s">
        <v>56</v>
      </c>
      <c r="D428">
        <v>0</v>
      </c>
      <c r="E428" s="20" t="s">
        <v>372</v>
      </c>
      <c r="F428" s="20">
        <v>22.34</v>
      </c>
      <c r="G428" s="20">
        <v>143.72999999999999</v>
      </c>
      <c r="H428" s="20">
        <v>126.5</v>
      </c>
      <c r="I428" s="20">
        <v>7.6</v>
      </c>
      <c r="J428" s="20">
        <v>112.46</v>
      </c>
      <c r="K428" s="20">
        <v>85.3</v>
      </c>
      <c r="L428" s="20">
        <v>273.52999999999997</v>
      </c>
      <c r="M428" s="20">
        <v>79.150000000000006</v>
      </c>
      <c r="N428" s="20">
        <v>15</v>
      </c>
      <c r="O428" s="20">
        <v>15</v>
      </c>
      <c r="P428" s="20">
        <v>5</v>
      </c>
      <c r="Q428" s="20">
        <v>5</v>
      </c>
      <c r="R428">
        <v>75</v>
      </c>
      <c r="S428">
        <v>75</v>
      </c>
      <c r="T428">
        <v>86.179688888888904</v>
      </c>
      <c r="U428">
        <v>50</v>
      </c>
      <c r="V428">
        <v>35</v>
      </c>
      <c r="W428">
        <v>277.006142857143</v>
      </c>
      <c r="X428">
        <v>306.15481012583899</v>
      </c>
      <c r="Y428" s="20" t="s">
        <v>102</v>
      </c>
      <c r="Z428">
        <v>350</v>
      </c>
      <c r="AA428">
        <v>225</v>
      </c>
      <c r="AB428">
        <v>575</v>
      </c>
      <c r="AC428">
        <v>7.9056941504209499</v>
      </c>
      <c r="AD428">
        <v>3.53553390593274</v>
      </c>
      <c r="AE428">
        <v>3.53553390593274</v>
      </c>
      <c r="AF428">
        <v>33.4589702584327</v>
      </c>
      <c r="AG428">
        <v>37.2058307773179</v>
      </c>
      <c r="AH428">
        <v>11.0590569658417</v>
      </c>
      <c r="AI428">
        <v>11.853509733835899</v>
      </c>
      <c r="AJ428">
        <v>9.8928496350583401</v>
      </c>
      <c r="AK428">
        <v>10.418373938964899</v>
      </c>
      <c r="AL428" s="20">
        <v>10.226175348584601</v>
      </c>
      <c r="AM428" s="20">
        <v>10.8046217078619</v>
      </c>
      <c r="AN428" s="20" t="s">
        <v>373</v>
      </c>
    </row>
    <row r="429" spans="1:40" x14ac:dyDescent="0.25">
      <c r="A429" s="20">
        <v>427</v>
      </c>
      <c r="B429" s="20" t="s">
        <v>496</v>
      </c>
      <c r="C429" s="20" t="s">
        <v>63</v>
      </c>
      <c r="D429">
        <v>1</v>
      </c>
      <c r="E429" s="20" t="s">
        <v>372</v>
      </c>
      <c r="F429" s="20">
        <v>-1.1100000000000001</v>
      </c>
      <c r="G429" s="20">
        <v>123.57</v>
      </c>
      <c r="H429" s="20">
        <v>26</v>
      </c>
      <c r="I429" s="20">
        <v>7.51</v>
      </c>
      <c r="J429" s="20">
        <v>220</v>
      </c>
      <c r="K429" s="20">
        <v>64.02</v>
      </c>
      <c r="L429" s="20">
        <v>172.33</v>
      </c>
      <c r="M429" s="20">
        <v>10.26</v>
      </c>
      <c r="N429" s="20">
        <v>31</v>
      </c>
      <c r="O429" s="20">
        <v>7</v>
      </c>
      <c r="P429" s="20">
        <v>7</v>
      </c>
      <c r="Q429" s="20">
        <v>5</v>
      </c>
      <c r="R429">
        <v>217</v>
      </c>
      <c r="S429">
        <v>35</v>
      </c>
      <c r="T429">
        <v>68.330552995391699</v>
      </c>
      <c r="U429">
        <v>126</v>
      </c>
      <c r="V429">
        <v>35</v>
      </c>
      <c r="W429">
        <v>117.680396825397</v>
      </c>
      <c r="X429">
        <v>106.910698930227</v>
      </c>
      <c r="Y429" s="20" t="s">
        <v>102</v>
      </c>
      <c r="Z429">
        <v>770</v>
      </c>
      <c r="AA429">
        <v>175</v>
      </c>
      <c r="AB429">
        <v>945</v>
      </c>
      <c r="AC429">
        <v>38.710463701691801</v>
      </c>
      <c r="AD429">
        <v>4.3011626335213098</v>
      </c>
      <c r="AE429">
        <v>4.3011626335213098</v>
      </c>
      <c r="AF429">
        <v>37.472856030586101</v>
      </c>
      <c r="AG429">
        <v>22.063971551383801</v>
      </c>
      <c r="AH429">
        <v>17.8203924776405</v>
      </c>
      <c r="AI429">
        <v>11.2822225824213</v>
      </c>
      <c r="AJ429">
        <v>13.4215084221092</v>
      </c>
      <c r="AK429">
        <v>9.2552650684770903</v>
      </c>
      <c r="AL429" s="20">
        <v>7.2517387184040203</v>
      </c>
      <c r="AM429" s="20">
        <v>9.7767840694166903</v>
      </c>
      <c r="AN429" s="20" t="s">
        <v>373</v>
      </c>
    </row>
    <row r="430" spans="1:40" x14ac:dyDescent="0.25">
      <c r="A430" s="20">
        <v>428</v>
      </c>
      <c r="B430" s="20" t="s">
        <v>497</v>
      </c>
      <c r="C430" s="20" t="s">
        <v>56</v>
      </c>
      <c r="D430">
        <v>0</v>
      </c>
      <c r="E430" s="20" t="s">
        <v>372</v>
      </c>
      <c r="F430" s="20">
        <v>-4.72</v>
      </c>
      <c r="G430" s="20">
        <v>102.09</v>
      </c>
      <c r="H430" s="20">
        <v>41.2</v>
      </c>
      <c r="I430" s="20">
        <v>7.84</v>
      </c>
      <c r="J430" s="20">
        <v>198.88</v>
      </c>
      <c r="K430" s="20">
        <v>59</v>
      </c>
      <c r="L430" s="20">
        <v>37.96</v>
      </c>
      <c r="M430" s="20">
        <v>35.020000000000003</v>
      </c>
      <c r="N430" s="20">
        <v>27</v>
      </c>
      <c r="O430" s="20">
        <v>14</v>
      </c>
      <c r="P430" s="20">
        <v>7</v>
      </c>
      <c r="Q430" s="20">
        <v>4.8</v>
      </c>
      <c r="R430">
        <v>189</v>
      </c>
      <c r="S430">
        <v>67.2</v>
      </c>
      <c r="T430">
        <v>89.156613756613794</v>
      </c>
      <c r="U430">
        <v>133</v>
      </c>
      <c r="V430">
        <v>62.4</v>
      </c>
      <c r="W430">
        <v>136.442105263158</v>
      </c>
      <c r="X430">
        <v>141.022451654398</v>
      </c>
      <c r="Y430" s="20" t="s">
        <v>102</v>
      </c>
      <c r="Z430">
        <v>1444.8</v>
      </c>
      <c r="AA430">
        <v>504</v>
      </c>
      <c r="AB430">
        <v>1948.8</v>
      </c>
      <c r="AC430">
        <v>92.850901988079798</v>
      </c>
      <c r="AD430">
        <v>4.2438190347845897</v>
      </c>
      <c r="AE430">
        <v>4.2438190347845897</v>
      </c>
      <c r="AF430">
        <v>43.385544507617098</v>
      </c>
      <c r="AG430">
        <v>30.772048999247001</v>
      </c>
      <c r="AH430">
        <v>19.041790617143999</v>
      </c>
      <c r="AI430">
        <v>13.3655976080465</v>
      </c>
      <c r="AJ430">
        <v>13.6759357804681</v>
      </c>
      <c r="AK430">
        <v>9.5426434010352601</v>
      </c>
      <c r="AL430" s="20">
        <v>15.445772799054099</v>
      </c>
      <c r="AM430" s="20">
        <v>16.1120861793251</v>
      </c>
      <c r="AN430" s="20" t="s">
        <v>373</v>
      </c>
    </row>
    <row r="431" spans="1:40" x14ac:dyDescent="0.25">
      <c r="A431" s="20">
        <v>429</v>
      </c>
      <c r="B431" s="20" t="s">
        <v>498</v>
      </c>
      <c r="C431" s="20" t="s">
        <v>56</v>
      </c>
      <c r="D431">
        <v>1</v>
      </c>
      <c r="E431" s="20" t="s">
        <v>372</v>
      </c>
      <c r="F431" s="20">
        <v>-13.8</v>
      </c>
      <c r="G431" s="20">
        <v>97.45</v>
      </c>
      <c r="H431" s="20">
        <v>10</v>
      </c>
      <c r="I431" s="20">
        <v>7.86</v>
      </c>
      <c r="J431" s="20">
        <v>161.30000000000001</v>
      </c>
      <c r="K431" s="20">
        <v>63.48</v>
      </c>
      <c r="L431" s="20">
        <v>354.5</v>
      </c>
      <c r="M431" s="20">
        <v>3.28</v>
      </c>
      <c r="N431" s="20">
        <v>32</v>
      </c>
      <c r="O431" s="20">
        <v>7</v>
      </c>
      <c r="P431" s="20">
        <v>6</v>
      </c>
      <c r="Q431" s="20">
        <v>3</v>
      </c>
      <c r="R431">
        <v>192</v>
      </c>
      <c r="S431">
        <v>21</v>
      </c>
      <c r="T431">
        <v>589.32017857142898</v>
      </c>
      <c r="U431">
        <v>108</v>
      </c>
      <c r="V431">
        <v>15</v>
      </c>
      <c r="W431">
        <v>1466.75244444444</v>
      </c>
      <c r="X431">
        <v>1553.3064958134601</v>
      </c>
      <c r="Y431" s="20" t="s">
        <v>102</v>
      </c>
      <c r="Z431">
        <v>450</v>
      </c>
      <c r="AA431">
        <v>162</v>
      </c>
      <c r="AB431">
        <v>612</v>
      </c>
      <c r="AC431">
        <v>33.841542518035403</v>
      </c>
      <c r="AD431">
        <v>3.3541019662496798</v>
      </c>
      <c r="AE431">
        <v>9.1241437954473295</v>
      </c>
      <c r="AF431">
        <v>53.568275425412303</v>
      </c>
      <c r="AG431">
        <v>7.5940092263191303</v>
      </c>
      <c r="AH431">
        <v>17.818791200213699</v>
      </c>
      <c r="AI431">
        <v>4.7772341763510999</v>
      </c>
      <c r="AJ431">
        <v>12.4401565850139</v>
      </c>
      <c r="AK431">
        <v>5.5001451030067399</v>
      </c>
      <c r="AL431" s="20">
        <v>18.237118387782701</v>
      </c>
      <c r="AM431" s="20">
        <v>2.8519688024240399</v>
      </c>
      <c r="AN431" s="20" t="s">
        <v>373</v>
      </c>
    </row>
    <row r="432" spans="1:40" x14ac:dyDescent="0.25">
      <c r="A432" s="20">
        <v>430</v>
      </c>
      <c r="B432" s="20" t="s">
        <v>499</v>
      </c>
      <c r="C432" s="20" t="s">
        <v>63</v>
      </c>
      <c r="D432">
        <v>0</v>
      </c>
      <c r="E432" s="20" t="s">
        <v>372</v>
      </c>
      <c r="F432" s="20">
        <v>-3.98</v>
      </c>
      <c r="G432" s="20">
        <v>152.16999999999999</v>
      </c>
      <c r="H432" s="20">
        <v>33</v>
      </c>
      <c r="I432" s="20">
        <v>8.07</v>
      </c>
      <c r="J432" s="20">
        <v>328.02</v>
      </c>
      <c r="K432" s="20">
        <v>65</v>
      </c>
      <c r="L432" s="20">
        <v>3.19</v>
      </c>
      <c r="M432" s="20">
        <v>8.52</v>
      </c>
      <c r="N432" s="20">
        <v>22</v>
      </c>
      <c r="O432" s="20">
        <v>10</v>
      </c>
      <c r="P432" s="20">
        <v>10</v>
      </c>
      <c r="Q432" s="20">
        <v>6</v>
      </c>
      <c r="R432">
        <v>220</v>
      </c>
      <c r="S432">
        <v>60</v>
      </c>
      <c r="T432">
        <v>189.62927272727299</v>
      </c>
      <c r="U432">
        <v>170</v>
      </c>
      <c r="V432">
        <v>48</v>
      </c>
      <c r="W432">
        <v>306.75323529411799</v>
      </c>
      <c r="X432">
        <v>300.38587221792602</v>
      </c>
      <c r="Y432" s="20" t="s">
        <v>102</v>
      </c>
      <c r="Z432">
        <v>1560</v>
      </c>
      <c r="AA432">
        <v>720</v>
      </c>
      <c r="AB432">
        <v>2280</v>
      </c>
      <c r="AC432">
        <v>125.035994817492</v>
      </c>
      <c r="AD432">
        <v>26.5706605111728</v>
      </c>
      <c r="AE432">
        <v>47.434164902525701</v>
      </c>
      <c r="AF432">
        <v>90.816773250042004</v>
      </c>
      <c r="AG432">
        <v>26.5662498875697</v>
      </c>
      <c r="AH432">
        <v>32.397347263194902</v>
      </c>
      <c r="AI432">
        <v>13.284007069804399</v>
      </c>
      <c r="AJ432">
        <v>20.415599491525501</v>
      </c>
      <c r="AK432">
        <v>11.7294870101861</v>
      </c>
      <c r="AL432" s="20">
        <v>91.260364654377696</v>
      </c>
      <c r="AM432" s="20">
        <v>117.83603063142399</v>
      </c>
      <c r="AN432" s="20" t="s">
        <v>373</v>
      </c>
    </row>
    <row r="433" spans="1:40" x14ac:dyDescent="0.25">
      <c r="A433" s="20">
        <v>431</v>
      </c>
      <c r="B433" s="20" t="s">
        <v>500</v>
      </c>
      <c r="C433" s="20" t="s">
        <v>61</v>
      </c>
      <c r="D433">
        <v>1</v>
      </c>
      <c r="E433" s="20" t="s">
        <v>372</v>
      </c>
      <c r="F433" s="20">
        <v>-5.23</v>
      </c>
      <c r="G433" s="20">
        <v>153.1</v>
      </c>
      <c r="H433" s="20">
        <v>30</v>
      </c>
      <c r="I433" s="20">
        <v>7.76</v>
      </c>
      <c r="J433" s="20">
        <v>252.49</v>
      </c>
      <c r="K433" s="20">
        <v>14.84</v>
      </c>
      <c r="L433" s="20">
        <v>92.62</v>
      </c>
      <c r="M433" s="20">
        <v>10.79</v>
      </c>
      <c r="N433" s="20">
        <v>13</v>
      </c>
      <c r="O433" s="20">
        <v>15</v>
      </c>
      <c r="P433" s="20">
        <v>12</v>
      </c>
      <c r="Q433" s="20">
        <v>10</v>
      </c>
      <c r="R433">
        <v>156</v>
      </c>
      <c r="S433">
        <v>150</v>
      </c>
      <c r="T433">
        <v>39.588615384615402</v>
      </c>
      <c r="U433">
        <v>108</v>
      </c>
      <c r="V433">
        <v>100</v>
      </c>
      <c r="W433">
        <v>85.775333333333293</v>
      </c>
      <c r="X433">
        <v>100.52212295476301</v>
      </c>
      <c r="Y433" s="20" t="s">
        <v>102</v>
      </c>
      <c r="Z433">
        <v>1440</v>
      </c>
      <c r="AA433">
        <v>600</v>
      </c>
      <c r="AB433">
        <v>2040</v>
      </c>
      <c r="AC433">
        <v>48.877397639399703</v>
      </c>
      <c r="AD433">
        <v>7.8102496759066504</v>
      </c>
      <c r="AE433">
        <v>7.8102496759066504</v>
      </c>
      <c r="AF433">
        <v>57.0024402712327</v>
      </c>
      <c r="AG433">
        <v>54.962327470691797</v>
      </c>
      <c r="AH433">
        <v>21.538519633895099</v>
      </c>
      <c r="AI433">
        <v>19.220478759008099</v>
      </c>
      <c r="AJ433">
        <v>22.954673929957099</v>
      </c>
      <c r="AK433">
        <v>19.394324226520499</v>
      </c>
      <c r="AL433" s="20">
        <v>0.93867645650671405</v>
      </c>
      <c r="AM433" s="20">
        <v>2.0685545726424501</v>
      </c>
      <c r="AN433" s="20" t="s">
        <v>373</v>
      </c>
    </row>
    <row r="434" spans="1:40" x14ac:dyDescent="0.25">
      <c r="A434" s="20">
        <v>432</v>
      </c>
      <c r="B434" s="20" t="s">
        <v>501</v>
      </c>
      <c r="C434" s="20" t="s">
        <v>61</v>
      </c>
      <c r="D434">
        <v>1</v>
      </c>
      <c r="E434" s="20" t="s">
        <v>372</v>
      </c>
      <c r="F434" s="20">
        <v>-5.5</v>
      </c>
      <c r="G434" s="20">
        <v>151.78</v>
      </c>
      <c r="H434" s="20">
        <v>33</v>
      </c>
      <c r="I434" s="20">
        <v>7.72</v>
      </c>
      <c r="J434" s="20">
        <v>240</v>
      </c>
      <c r="K434" s="20">
        <v>32</v>
      </c>
      <c r="L434" s="20">
        <v>64.099999999999994</v>
      </c>
      <c r="M434" s="20">
        <v>0.11</v>
      </c>
      <c r="N434" s="20">
        <v>15</v>
      </c>
      <c r="O434" s="20">
        <v>16</v>
      </c>
      <c r="P434" s="20">
        <v>12</v>
      </c>
      <c r="Q434" s="20">
        <v>7.3</v>
      </c>
      <c r="R434">
        <v>180</v>
      </c>
      <c r="S434">
        <v>116.8</v>
      </c>
      <c r="T434">
        <v>50.661166666666702</v>
      </c>
      <c r="U434">
        <v>132</v>
      </c>
      <c r="V434">
        <v>87.6</v>
      </c>
      <c r="W434">
        <v>92.111212121212105</v>
      </c>
      <c r="X434">
        <v>83.001453128521206</v>
      </c>
      <c r="Y434" s="20" t="s">
        <v>102</v>
      </c>
      <c r="Z434">
        <v>3241.2</v>
      </c>
      <c r="AA434">
        <v>525.6</v>
      </c>
      <c r="AB434">
        <v>3766.8</v>
      </c>
      <c r="AC434">
        <v>53.3209386639058</v>
      </c>
      <c r="AD434">
        <v>7.0229979353549501</v>
      </c>
      <c r="AE434">
        <v>30.221225984397101</v>
      </c>
      <c r="AF434">
        <v>62.3636737565758</v>
      </c>
      <c r="AG434">
        <v>27.682575221986799</v>
      </c>
      <c r="AH434">
        <v>27.238382285682601</v>
      </c>
      <c r="AI434">
        <v>13.834164339193</v>
      </c>
      <c r="AJ434">
        <v>22.894620131108098</v>
      </c>
      <c r="AK434">
        <v>13.310853003763301</v>
      </c>
      <c r="AL434" s="20">
        <v>58.608546714707103</v>
      </c>
      <c r="AM434" s="20">
        <v>15.3362632854291</v>
      </c>
      <c r="AN434" s="20" t="s">
        <v>373</v>
      </c>
    </row>
    <row r="435" spans="1:40" x14ac:dyDescent="0.25">
      <c r="A435" s="20">
        <v>433</v>
      </c>
      <c r="B435" s="20" t="s">
        <v>502</v>
      </c>
      <c r="C435" s="20" t="s">
        <v>56</v>
      </c>
      <c r="D435">
        <v>0</v>
      </c>
      <c r="E435" s="20" t="s">
        <v>372</v>
      </c>
      <c r="F435" s="20">
        <v>13.05</v>
      </c>
      <c r="G435" s="20">
        <v>-88.66</v>
      </c>
      <c r="H435" s="20">
        <v>60</v>
      </c>
      <c r="I435" s="20">
        <v>7.7</v>
      </c>
      <c r="J435" s="20">
        <v>307.31</v>
      </c>
      <c r="K435" s="20">
        <v>55.5</v>
      </c>
      <c r="L435" s="20">
        <v>273.62</v>
      </c>
      <c r="M435" s="20">
        <v>1.28</v>
      </c>
      <c r="N435" s="20">
        <v>21</v>
      </c>
      <c r="O435" s="20">
        <v>17</v>
      </c>
      <c r="P435" s="20">
        <v>8</v>
      </c>
      <c r="Q435" s="20">
        <v>7.5</v>
      </c>
      <c r="R435">
        <v>168</v>
      </c>
      <c r="S435">
        <v>127.5</v>
      </c>
      <c r="T435">
        <v>32.601904761904798</v>
      </c>
      <c r="U435">
        <v>88</v>
      </c>
      <c r="V435">
        <v>75</v>
      </c>
      <c r="W435">
        <v>105.80800000000001</v>
      </c>
      <c r="X435">
        <v>169.450869858988</v>
      </c>
      <c r="Y435" s="20" t="s">
        <v>102</v>
      </c>
      <c r="Z435">
        <v>660</v>
      </c>
      <c r="AA435">
        <v>420</v>
      </c>
      <c r="AB435">
        <v>1080</v>
      </c>
      <c r="AC435">
        <v>11.939953936259601</v>
      </c>
      <c r="AD435">
        <v>5.4829280498653299</v>
      </c>
      <c r="AE435">
        <v>5.4829280498653299</v>
      </c>
      <c r="AF435">
        <v>42.7167860160096</v>
      </c>
      <c r="AG435">
        <v>43.804288567390898</v>
      </c>
      <c r="AH435">
        <v>15.3427944583499</v>
      </c>
      <c r="AI435">
        <v>15.1934841671762</v>
      </c>
      <c r="AJ435">
        <v>15.3658441467978</v>
      </c>
      <c r="AK435">
        <v>14.908221190756899</v>
      </c>
      <c r="AL435" s="20">
        <v>17.7707591880595</v>
      </c>
      <c r="AM435" s="20">
        <v>17.593424817527701</v>
      </c>
      <c r="AN435" s="20" t="s">
        <v>373</v>
      </c>
    </row>
    <row r="436" spans="1:40" x14ac:dyDescent="0.25">
      <c r="A436" s="20">
        <v>434</v>
      </c>
      <c r="B436" s="20" t="s">
        <v>503</v>
      </c>
      <c r="C436" s="20" t="s">
        <v>61</v>
      </c>
      <c r="D436">
        <v>1</v>
      </c>
      <c r="E436" s="20" t="s">
        <v>372</v>
      </c>
      <c r="F436" s="20">
        <v>-16.260000000000002</v>
      </c>
      <c r="G436" s="20">
        <v>-73.64</v>
      </c>
      <c r="H436" s="20">
        <v>33</v>
      </c>
      <c r="I436" s="20">
        <v>8.3800000000000008</v>
      </c>
      <c r="J436" s="20">
        <v>309.99</v>
      </c>
      <c r="K436" s="20">
        <v>17.53</v>
      </c>
      <c r="L436" s="20">
        <v>62.6</v>
      </c>
      <c r="M436" s="20">
        <v>1.67</v>
      </c>
      <c r="N436" s="20">
        <v>22</v>
      </c>
      <c r="O436" s="20">
        <v>15</v>
      </c>
      <c r="P436" s="20">
        <v>18</v>
      </c>
      <c r="Q436" s="20">
        <v>16</v>
      </c>
      <c r="R436">
        <v>396</v>
      </c>
      <c r="S436">
        <v>240</v>
      </c>
      <c r="T436">
        <v>88.757121212121206</v>
      </c>
      <c r="U436">
        <v>252</v>
      </c>
      <c r="V436">
        <v>208</v>
      </c>
      <c r="W436">
        <v>160.93324175824199</v>
      </c>
      <c r="X436">
        <v>165.441129434076</v>
      </c>
      <c r="Y436" s="20" t="s">
        <v>102</v>
      </c>
      <c r="Z436">
        <v>10368</v>
      </c>
      <c r="AA436">
        <v>3744</v>
      </c>
      <c r="AB436">
        <v>14112</v>
      </c>
      <c r="AC436">
        <v>99.322706366671298</v>
      </c>
      <c r="AD436">
        <v>74.625732827222507</v>
      </c>
      <c r="AE436">
        <v>99.322706366671298</v>
      </c>
      <c r="AF436">
        <v>133.29749906741699</v>
      </c>
      <c r="AG436">
        <v>95.1402903193013</v>
      </c>
      <c r="AH436">
        <v>67.3106917104909</v>
      </c>
      <c r="AI436">
        <v>51.212302608982597</v>
      </c>
      <c r="AJ436">
        <v>36.302636888764802</v>
      </c>
      <c r="AK436">
        <v>31.175251066325501</v>
      </c>
      <c r="AL436" s="20">
        <v>140.361839331672</v>
      </c>
      <c r="AM436" s="20">
        <v>131.672688019384</v>
      </c>
      <c r="AN436" s="20" t="s">
        <v>373</v>
      </c>
    </row>
    <row r="437" spans="1:40" x14ac:dyDescent="0.25">
      <c r="A437" s="20">
        <v>435</v>
      </c>
      <c r="B437" s="20" t="s">
        <v>504</v>
      </c>
      <c r="C437" s="20" t="s">
        <v>56</v>
      </c>
      <c r="D437">
        <v>1</v>
      </c>
      <c r="E437" s="20" t="s">
        <v>372</v>
      </c>
      <c r="F437" s="20">
        <v>-17.54</v>
      </c>
      <c r="G437" s="20">
        <v>-72.08</v>
      </c>
      <c r="H437" s="20">
        <v>33</v>
      </c>
      <c r="I437" s="20">
        <v>7.59</v>
      </c>
      <c r="J437" s="20">
        <v>304</v>
      </c>
      <c r="K437" s="20">
        <v>26</v>
      </c>
      <c r="L437" s="20">
        <v>51.59</v>
      </c>
      <c r="M437" s="20">
        <v>0.57999999999999996</v>
      </c>
      <c r="N437" s="20">
        <v>21</v>
      </c>
      <c r="O437" s="20">
        <v>25</v>
      </c>
      <c r="P437" s="20">
        <v>10</v>
      </c>
      <c r="Q437" s="20">
        <v>5.0999999999999996</v>
      </c>
      <c r="R437">
        <v>210</v>
      </c>
      <c r="S437">
        <v>127.5</v>
      </c>
      <c r="T437">
        <v>20.7130857142857</v>
      </c>
      <c r="U437">
        <v>140</v>
      </c>
      <c r="V437">
        <v>91.8</v>
      </c>
      <c r="W437">
        <v>43.1522619047619</v>
      </c>
      <c r="X437">
        <v>61.140955137811297</v>
      </c>
      <c r="Y437" s="20" t="s">
        <v>102</v>
      </c>
      <c r="Z437">
        <v>1530</v>
      </c>
      <c r="AA437">
        <v>1020</v>
      </c>
      <c r="AB437">
        <v>2550</v>
      </c>
      <c r="AC437">
        <v>39.288961554105803</v>
      </c>
      <c r="AD437">
        <v>5.6127087934436899</v>
      </c>
      <c r="AE437">
        <v>5.6127087934436704</v>
      </c>
      <c r="AF437">
        <v>37.615397562514801</v>
      </c>
      <c r="AG437">
        <v>25.7049002986316</v>
      </c>
      <c r="AH437">
        <v>30.302259697208498</v>
      </c>
      <c r="AI437">
        <v>19.761063212845499</v>
      </c>
      <c r="AJ437">
        <v>17.903445994367399</v>
      </c>
      <c r="AK437">
        <v>9.5797200394973903</v>
      </c>
      <c r="AL437" s="20">
        <v>4.8995312888071201</v>
      </c>
      <c r="AM437" s="20">
        <v>11.1341218692809</v>
      </c>
      <c r="AN437" s="20" t="s">
        <v>373</v>
      </c>
    </row>
    <row r="438" spans="1:40" x14ac:dyDescent="0.25">
      <c r="A438" s="20">
        <v>436</v>
      </c>
      <c r="B438" s="20" t="s">
        <v>505</v>
      </c>
      <c r="C438" s="20" t="s">
        <v>61</v>
      </c>
      <c r="D438">
        <v>1</v>
      </c>
      <c r="E438" s="20" t="s">
        <v>372</v>
      </c>
      <c r="F438" s="20">
        <v>6.03</v>
      </c>
      <c r="G438" s="20">
        <v>124.25</v>
      </c>
      <c r="H438" s="20">
        <v>31</v>
      </c>
      <c r="I438" s="20">
        <v>7.45</v>
      </c>
      <c r="J438" s="20">
        <v>314.08999999999997</v>
      </c>
      <c r="K438" s="20">
        <v>24.66</v>
      </c>
      <c r="L438" s="20">
        <v>69.61</v>
      </c>
      <c r="M438" s="20">
        <v>0.33</v>
      </c>
      <c r="N438" s="20">
        <v>29</v>
      </c>
      <c r="O438" s="20">
        <v>19</v>
      </c>
      <c r="P438" s="20">
        <v>7</v>
      </c>
      <c r="Q438" s="20">
        <v>7</v>
      </c>
      <c r="R438">
        <v>203</v>
      </c>
      <c r="S438">
        <v>133</v>
      </c>
      <c r="T438">
        <v>13.2177132486388</v>
      </c>
      <c r="U438">
        <v>105</v>
      </c>
      <c r="V438">
        <v>98</v>
      </c>
      <c r="W438">
        <v>34.680761904761901</v>
      </c>
      <c r="X438">
        <v>45.253390034015901</v>
      </c>
      <c r="Y438" s="20" t="s">
        <v>102</v>
      </c>
      <c r="Z438">
        <v>1617</v>
      </c>
      <c r="AA438">
        <v>441</v>
      </c>
      <c r="AB438">
        <v>2058</v>
      </c>
      <c r="AC438">
        <v>20.4083316319586</v>
      </c>
      <c r="AD438">
        <v>4.94974746830583</v>
      </c>
      <c r="AE438">
        <v>4.94974746830583</v>
      </c>
      <c r="AF438">
        <v>32.863346929709003</v>
      </c>
      <c r="AG438">
        <v>25.436022285485102</v>
      </c>
      <c r="AH438">
        <v>26.996061791793501</v>
      </c>
      <c r="AI438">
        <v>21.393315288291401</v>
      </c>
      <c r="AJ438">
        <v>12.8574825625857</v>
      </c>
      <c r="AK438">
        <v>12.4565872653663</v>
      </c>
      <c r="AL438" s="20">
        <v>7.4965540416914198</v>
      </c>
      <c r="AM438" s="20">
        <v>6.97770434598658</v>
      </c>
      <c r="AN438" s="20" t="s">
        <v>373</v>
      </c>
    </row>
    <row r="439" spans="1:40" x14ac:dyDescent="0.25">
      <c r="A439" s="20">
        <v>437</v>
      </c>
      <c r="B439" s="20" t="s">
        <v>506</v>
      </c>
      <c r="C439" s="20" t="s">
        <v>56</v>
      </c>
      <c r="D439">
        <v>1</v>
      </c>
      <c r="E439" s="20" t="s">
        <v>372</v>
      </c>
      <c r="F439" s="20">
        <v>-3.3</v>
      </c>
      <c r="G439" s="20">
        <v>142.94999999999999</v>
      </c>
      <c r="H439" s="20">
        <v>13</v>
      </c>
      <c r="I439" s="20">
        <v>7.54</v>
      </c>
      <c r="J439" s="20">
        <v>106.23</v>
      </c>
      <c r="K439" s="20">
        <v>34.03</v>
      </c>
      <c r="L439" s="20">
        <v>42.72</v>
      </c>
      <c r="M439" s="20">
        <v>0.4</v>
      </c>
      <c r="N439" s="20">
        <v>23</v>
      </c>
      <c r="O439" s="20">
        <v>9</v>
      </c>
      <c r="P439" s="20">
        <v>7</v>
      </c>
      <c r="Q439" s="20">
        <v>5</v>
      </c>
      <c r="R439">
        <v>161</v>
      </c>
      <c r="S439">
        <v>45</v>
      </c>
      <c r="T439">
        <v>109.004975845411</v>
      </c>
      <c r="U439">
        <v>98</v>
      </c>
      <c r="V439">
        <v>45</v>
      </c>
      <c r="W439">
        <v>179.07960317460299</v>
      </c>
      <c r="X439">
        <v>186.14867785929999</v>
      </c>
      <c r="Y439" s="20" t="s">
        <v>102</v>
      </c>
      <c r="Z439">
        <v>595</v>
      </c>
      <c r="AA439">
        <v>420</v>
      </c>
      <c r="AB439">
        <v>1015</v>
      </c>
      <c r="AC439">
        <v>21.5058131676066</v>
      </c>
      <c r="AD439">
        <v>4.3011626335213098</v>
      </c>
      <c r="AE439">
        <v>4.3011626335213098</v>
      </c>
      <c r="AF439">
        <v>43.636281511398003</v>
      </c>
      <c r="AG439">
        <v>29.1014082994568</v>
      </c>
      <c r="AH439">
        <v>14.6054645588373</v>
      </c>
      <c r="AI439">
        <v>10.1567568414672</v>
      </c>
      <c r="AJ439">
        <v>14.0257695524427</v>
      </c>
      <c r="AK439">
        <v>9.8889555288413202</v>
      </c>
      <c r="AL439" s="20">
        <v>11.088452924551699</v>
      </c>
      <c r="AM439" s="20">
        <v>10.241531354734001</v>
      </c>
      <c r="AN439" s="20" t="s">
        <v>373</v>
      </c>
    </row>
    <row r="440" spans="1:40" x14ac:dyDescent="0.25">
      <c r="A440" s="20">
        <v>438</v>
      </c>
      <c r="B440" s="20" t="s">
        <v>507</v>
      </c>
      <c r="C440" s="20" t="s">
        <v>63</v>
      </c>
      <c r="D440">
        <v>1</v>
      </c>
      <c r="E440" s="20" t="s">
        <v>372</v>
      </c>
      <c r="F440" s="20">
        <v>-1.76</v>
      </c>
      <c r="G440" s="20">
        <v>134.30000000000001</v>
      </c>
      <c r="H440" s="20">
        <v>10</v>
      </c>
      <c r="I440" s="20">
        <v>7.54</v>
      </c>
      <c r="J440" s="20">
        <v>59.8</v>
      </c>
      <c r="K440" s="20">
        <v>82.59</v>
      </c>
      <c r="L440" s="20">
        <v>4.34</v>
      </c>
      <c r="M440" s="20">
        <v>3.05</v>
      </c>
      <c r="N440" s="20">
        <v>36</v>
      </c>
      <c r="O440" s="20">
        <v>7</v>
      </c>
      <c r="P440" s="20">
        <v>7</v>
      </c>
      <c r="Q440" s="20">
        <v>2.8</v>
      </c>
      <c r="R440">
        <v>252</v>
      </c>
      <c r="S440">
        <v>19.600000000000001</v>
      </c>
      <c r="T440">
        <v>144.25603174603199</v>
      </c>
      <c r="U440">
        <v>133</v>
      </c>
      <c r="V440">
        <v>19.600000000000001</v>
      </c>
      <c r="W440">
        <v>273.327218045113</v>
      </c>
      <c r="X440">
        <v>229.352145084554</v>
      </c>
      <c r="Y440" s="20" t="s">
        <v>102</v>
      </c>
      <c r="Z440">
        <v>686</v>
      </c>
      <c r="AA440">
        <v>333.2</v>
      </c>
      <c r="AB440">
        <v>1019.2</v>
      </c>
      <c r="AC440">
        <v>40.509381629444803</v>
      </c>
      <c r="AD440">
        <v>3.76961536499415</v>
      </c>
      <c r="AE440">
        <v>3.76961536499415</v>
      </c>
      <c r="AF440">
        <v>57.324701667216601</v>
      </c>
      <c r="AG440">
        <v>11.3175760045172</v>
      </c>
      <c r="AH440">
        <v>29.4294543383788</v>
      </c>
      <c r="AI440">
        <v>7.20990884745708</v>
      </c>
      <c r="AJ440">
        <v>14.2796240461686</v>
      </c>
      <c r="AK440">
        <v>5.2331001694854598</v>
      </c>
      <c r="AL440" s="20">
        <v>1.9528923907886</v>
      </c>
      <c r="AM440" s="20">
        <v>6.7874345816368704</v>
      </c>
      <c r="AN440" s="20" t="s">
        <v>373</v>
      </c>
    </row>
    <row r="441" spans="1:40" x14ac:dyDescent="0.25">
      <c r="A441" s="20">
        <v>439</v>
      </c>
      <c r="B441" s="20" t="s">
        <v>508</v>
      </c>
      <c r="C441" s="20" t="s">
        <v>61</v>
      </c>
      <c r="D441">
        <v>0</v>
      </c>
      <c r="E441" s="20" t="s">
        <v>372</v>
      </c>
      <c r="F441" s="20">
        <v>2.82</v>
      </c>
      <c r="G441" s="20">
        <v>96.08</v>
      </c>
      <c r="H441" s="20">
        <v>30</v>
      </c>
      <c r="I441" s="20">
        <v>7.23</v>
      </c>
      <c r="J441" s="20">
        <v>297</v>
      </c>
      <c r="K441" s="20">
        <v>16</v>
      </c>
      <c r="L441" s="20">
        <v>73</v>
      </c>
      <c r="M441" s="20">
        <v>17.59</v>
      </c>
      <c r="N441" s="20">
        <v>10</v>
      </c>
      <c r="O441" s="20">
        <v>14</v>
      </c>
      <c r="P441" s="20">
        <v>7</v>
      </c>
      <c r="Q441" s="20">
        <v>6</v>
      </c>
      <c r="R441">
        <v>70</v>
      </c>
      <c r="S441">
        <v>84</v>
      </c>
      <c r="T441">
        <v>23.3822857142857</v>
      </c>
      <c r="U441">
        <v>49</v>
      </c>
      <c r="V441">
        <v>78</v>
      </c>
      <c r="W441">
        <v>35.972747252747297</v>
      </c>
      <c r="X441">
        <v>32.319176550273298</v>
      </c>
      <c r="Y441" s="20" t="s">
        <v>102</v>
      </c>
      <c r="Z441">
        <v>924</v>
      </c>
      <c r="AA441">
        <v>546</v>
      </c>
      <c r="AB441">
        <v>1470</v>
      </c>
      <c r="AC441">
        <v>19.6786686541544</v>
      </c>
      <c r="AD441">
        <v>4.60977222864644</v>
      </c>
      <c r="AE441">
        <v>4.60977222864644</v>
      </c>
      <c r="AF441">
        <v>39.771256274635803</v>
      </c>
      <c r="AG441">
        <v>26.631109620822699</v>
      </c>
      <c r="AH441">
        <v>13.811812630823299</v>
      </c>
      <c r="AI441">
        <v>10.189336769216499</v>
      </c>
      <c r="AJ441">
        <v>13.6767701340119</v>
      </c>
      <c r="AK441">
        <v>11.259852318538501</v>
      </c>
      <c r="AL441" s="20">
        <v>8.2148991284129593</v>
      </c>
      <c r="AM441" s="20">
        <v>10.2072890568456</v>
      </c>
      <c r="AN441" s="20" t="s">
        <v>373</v>
      </c>
    </row>
    <row r="442" spans="1:40" x14ac:dyDescent="0.25">
      <c r="A442" s="20">
        <v>440</v>
      </c>
      <c r="B442" s="20" t="s">
        <v>509</v>
      </c>
      <c r="C442" s="20" t="s">
        <v>61</v>
      </c>
      <c r="D442">
        <v>0</v>
      </c>
      <c r="E442" s="20" t="s">
        <v>372</v>
      </c>
      <c r="F442" s="20">
        <v>63.517499999999998</v>
      </c>
      <c r="G442" s="20">
        <v>-147.44399999999999</v>
      </c>
      <c r="H442" s="20">
        <v>8</v>
      </c>
      <c r="I442" s="20">
        <v>7.97</v>
      </c>
      <c r="J442" s="20">
        <v>250</v>
      </c>
      <c r="K442" s="20">
        <v>40</v>
      </c>
      <c r="L442" s="20">
        <v>90</v>
      </c>
      <c r="M442" s="20">
        <v>0.12</v>
      </c>
      <c r="N442" s="20">
        <v>8</v>
      </c>
      <c r="O442" s="20">
        <v>8</v>
      </c>
      <c r="P442" s="20">
        <v>5</v>
      </c>
      <c r="Q442" s="20">
        <v>3.5</v>
      </c>
      <c r="R442">
        <v>420</v>
      </c>
      <c r="S442">
        <v>28</v>
      </c>
      <c r="T442">
        <v>265.13572916666698</v>
      </c>
      <c r="U442">
        <v>315</v>
      </c>
      <c r="V442">
        <v>28</v>
      </c>
      <c r="W442">
        <v>353.51430555555601</v>
      </c>
      <c r="X442">
        <v>403.49619498062401</v>
      </c>
      <c r="Y442" s="20" t="s">
        <v>102</v>
      </c>
      <c r="Z442">
        <v>1575</v>
      </c>
      <c r="AA442">
        <v>822.5</v>
      </c>
      <c r="AB442">
        <v>2397.5</v>
      </c>
      <c r="AC442">
        <v>107.234847414448</v>
      </c>
      <c r="AD442">
        <v>87.936411684807794</v>
      </c>
      <c r="AE442">
        <v>157.58747570793801</v>
      </c>
      <c r="AF442">
        <v>59.628557802709999</v>
      </c>
      <c r="AG442">
        <v>20.489588007361998</v>
      </c>
      <c r="AH442">
        <v>32.600890728713203</v>
      </c>
      <c r="AI442">
        <v>13.424845247223701</v>
      </c>
      <c r="AJ442">
        <v>10.7959719547943</v>
      </c>
      <c r="AK442">
        <v>6.9495877561098398</v>
      </c>
      <c r="AL442" s="20">
        <v>190.46312999257901</v>
      </c>
      <c r="AM442" s="20">
        <v>210.33882150390099</v>
      </c>
      <c r="AN442" s="20" t="s">
        <v>373</v>
      </c>
    </row>
    <row r="443" spans="1:40" x14ac:dyDescent="0.25">
      <c r="A443" s="20">
        <v>441</v>
      </c>
      <c r="B443" s="20" t="s">
        <v>510</v>
      </c>
      <c r="C443" s="20" t="s">
        <v>63</v>
      </c>
      <c r="D443">
        <v>0</v>
      </c>
      <c r="E443" s="20" t="s">
        <v>372</v>
      </c>
      <c r="F443" s="20">
        <v>-2.6</v>
      </c>
      <c r="G443" s="20">
        <v>68.38</v>
      </c>
      <c r="H443" s="20">
        <v>10</v>
      </c>
      <c r="I443" s="20">
        <v>7.53</v>
      </c>
      <c r="J443" s="20">
        <v>36</v>
      </c>
      <c r="K443" s="20">
        <v>79</v>
      </c>
      <c r="L443" s="20">
        <v>158.85</v>
      </c>
      <c r="M443" s="20">
        <v>0.35</v>
      </c>
      <c r="N443" s="20">
        <v>35</v>
      </c>
      <c r="O443" s="20">
        <v>5</v>
      </c>
      <c r="P443" s="20">
        <v>8</v>
      </c>
      <c r="Q443" s="20">
        <v>3.93</v>
      </c>
      <c r="R443">
        <v>280</v>
      </c>
      <c r="S443">
        <v>19.649999999999999</v>
      </c>
      <c r="T443">
        <v>137.12948571428601</v>
      </c>
      <c r="U443">
        <v>136</v>
      </c>
      <c r="V443">
        <v>19.649999999999999</v>
      </c>
      <c r="W443">
        <v>282.32541176470602</v>
      </c>
      <c r="X443">
        <v>298.93765067627697</v>
      </c>
      <c r="Y443" s="20" t="s">
        <v>102</v>
      </c>
      <c r="Z443">
        <v>471.6</v>
      </c>
      <c r="AA443">
        <v>188.64</v>
      </c>
      <c r="AB443">
        <v>660.24</v>
      </c>
      <c r="AC443">
        <v>75.117161987125201</v>
      </c>
      <c r="AD443">
        <v>108.0178745625</v>
      </c>
      <c r="AE443">
        <v>132.01462504207601</v>
      </c>
      <c r="AF443">
        <v>49.413310573801198</v>
      </c>
      <c r="AG443">
        <v>13.3689832406164</v>
      </c>
      <c r="AH443">
        <v>16.5814246592229</v>
      </c>
      <c r="AI443">
        <v>5.8641823879894197</v>
      </c>
      <c r="AJ443">
        <v>15.7464447623836</v>
      </c>
      <c r="AK443">
        <v>7.1049404072941202</v>
      </c>
      <c r="AL443" s="20">
        <v>172.91336319185999</v>
      </c>
      <c r="AM443" s="20">
        <v>143.98328636063999</v>
      </c>
      <c r="AN443" s="20" t="s">
        <v>373</v>
      </c>
    </row>
    <row r="444" spans="1:40" x14ac:dyDescent="0.25">
      <c r="A444" s="20">
        <v>442</v>
      </c>
      <c r="B444" s="20" t="s">
        <v>511</v>
      </c>
      <c r="C444" s="20" t="s">
        <v>56</v>
      </c>
      <c r="D444">
        <v>0</v>
      </c>
      <c r="E444" s="20" t="s">
        <v>372</v>
      </c>
      <c r="F444" s="20">
        <v>-60.53</v>
      </c>
      <c r="G444" s="20">
        <v>-43.41</v>
      </c>
      <c r="H444" s="20">
        <v>10</v>
      </c>
      <c r="I444" s="20">
        <v>7.55</v>
      </c>
      <c r="J444" s="20">
        <v>105</v>
      </c>
      <c r="K444" s="20">
        <v>48</v>
      </c>
      <c r="L444" s="20">
        <v>336.62</v>
      </c>
      <c r="M444" s="20">
        <v>4.12</v>
      </c>
      <c r="N444" s="20">
        <v>20</v>
      </c>
      <c r="O444" s="20">
        <v>5</v>
      </c>
      <c r="P444" s="20">
        <v>7</v>
      </c>
      <c r="Q444" s="20">
        <v>3.16</v>
      </c>
      <c r="R444">
        <v>140</v>
      </c>
      <c r="S444">
        <v>15.8</v>
      </c>
      <c r="T444">
        <v>209.52670000000001</v>
      </c>
      <c r="U444">
        <v>105</v>
      </c>
      <c r="V444">
        <v>15.8</v>
      </c>
      <c r="W444">
        <v>279.36893333333302</v>
      </c>
      <c r="X444">
        <v>223.37372199168999</v>
      </c>
      <c r="Y444" s="20" t="s">
        <v>102</v>
      </c>
      <c r="Z444">
        <v>353.92</v>
      </c>
      <c r="AA444">
        <v>221.2</v>
      </c>
      <c r="AB444">
        <v>575.12</v>
      </c>
      <c r="AC444">
        <v>20.836064887593299</v>
      </c>
      <c r="AD444">
        <v>10.618210772065099</v>
      </c>
      <c r="AE444">
        <v>17.571180950636201</v>
      </c>
      <c r="AF444">
        <v>44.444412130749797</v>
      </c>
      <c r="AG444">
        <v>8.4213597151905706</v>
      </c>
      <c r="AH444">
        <v>16.053177485548701</v>
      </c>
      <c r="AI444">
        <v>4.6034323341172598</v>
      </c>
      <c r="AJ444">
        <v>13.831225783771799</v>
      </c>
      <c r="AK444">
        <v>5.5475409952519099</v>
      </c>
      <c r="AL444" s="20">
        <v>75.463591955127598</v>
      </c>
      <c r="AM444" s="20">
        <v>32.932770882815198</v>
      </c>
      <c r="AN444" s="20" t="s">
        <v>373</v>
      </c>
    </row>
    <row r="445" spans="1:40" x14ac:dyDescent="0.25">
      <c r="A445" s="20">
        <v>443</v>
      </c>
      <c r="B445" s="20" t="s">
        <v>512</v>
      </c>
      <c r="C445" s="20" t="s">
        <v>61</v>
      </c>
      <c r="D445">
        <v>0</v>
      </c>
      <c r="E445" s="20" t="s">
        <v>372</v>
      </c>
      <c r="F445" s="20">
        <v>-45.1</v>
      </c>
      <c r="G445" s="20">
        <v>167.14</v>
      </c>
      <c r="H445" s="20">
        <v>28</v>
      </c>
      <c r="I445" s="20">
        <v>7.17</v>
      </c>
      <c r="J445" s="20">
        <v>209</v>
      </c>
      <c r="K445" s="20">
        <v>67</v>
      </c>
      <c r="L445" s="20">
        <v>88</v>
      </c>
      <c r="M445" s="20">
        <v>4.0599999999999996</v>
      </c>
      <c r="N445" s="20">
        <v>17</v>
      </c>
      <c r="O445" s="20">
        <v>15</v>
      </c>
      <c r="P445" s="20">
        <v>5</v>
      </c>
      <c r="Q445" s="20">
        <v>4</v>
      </c>
      <c r="R445">
        <v>85</v>
      </c>
      <c r="S445">
        <v>60</v>
      </c>
      <c r="T445">
        <v>27.208392156862701</v>
      </c>
      <c r="U445">
        <v>40</v>
      </c>
      <c r="V445">
        <v>44</v>
      </c>
      <c r="W445">
        <v>78.842500000000001</v>
      </c>
      <c r="X445">
        <v>68.101254119734307</v>
      </c>
      <c r="Y445" s="20" t="s">
        <v>102</v>
      </c>
      <c r="Z445">
        <v>520</v>
      </c>
      <c r="AA445">
        <v>180</v>
      </c>
      <c r="AB445">
        <v>700</v>
      </c>
      <c r="AC445">
        <v>6.5</v>
      </c>
      <c r="AD445">
        <v>3.2015621187164198</v>
      </c>
      <c r="AE445">
        <v>3.2015621187164198</v>
      </c>
      <c r="AF445">
        <v>36.075036641694602</v>
      </c>
      <c r="AG445">
        <v>31.336328050821599</v>
      </c>
      <c r="AH445">
        <v>11.6501688108062</v>
      </c>
      <c r="AI445">
        <v>9.7310100906606696</v>
      </c>
      <c r="AJ445">
        <v>10.2537386299106</v>
      </c>
      <c r="AK445">
        <v>8.2423933558366507</v>
      </c>
      <c r="AL445" s="20">
        <v>46.530259853669399</v>
      </c>
      <c r="AM445" s="20">
        <v>5.11262467329649</v>
      </c>
      <c r="AN445" s="20" t="s">
        <v>373</v>
      </c>
    </row>
    <row r="446" spans="1:40" x14ac:dyDescent="0.25">
      <c r="A446" s="20">
        <v>444</v>
      </c>
      <c r="B446" s="20" t="s">
        <v>513</v>
      </c>
      <c r="C446" s="20" t="s">
        <v>56</v>
      </c>
      <c r="D446">
        <v>1</v>
      </c>
      <c r="E446" s="20" t="s">
        <v>372</v>
      </c>
      <c r="F446" s="20">
        <v>41.81</v>
      </c>
      <c r="G446" s="20">
        <v>143.91</v>
      </c>
      <c r="H446" s="20">
        <v>27</v>
      </c>
      <c r="I446" s="20">
        <v>8.24</v>
      </c>
      <c r="J446" s="20">
        <v>240</v>
      </c>
      <c r="K446" s="20">
        <v>17</v>
      </c>
      <c r="L446" s="20">
        <v>132.36000000000001</v>
      </c>
      <c r="M446" s="20">
        <v>1.72</v>
      </c>
      <c r="N446" s="20">
        <v>17</v>
      </c>
      <c r="O446" s="20">
        <v>25</v>
      </c>
      <c r="P446" s="20">
        <v>16</v>
      </c>
      <c r="Q446" s="20">
        <v>9.1</v>
      </c>
      <c r="R446">
        <v>272</v>
      </c>
      <c r="S446">
        <v>227.5</v>
      </c>
      <c r="T446">
        <v>79.628941176470605</v>
      </c>
      <c r="U446">
        <v>224</v>
      </c>
      <c r="V446">
        <v>172.9</v>
      </c>
      <c r="W446">
        <v>127.22669172932299</v>
      </c>
      <c r="X446">
        <v>170.735066426358</v>
      </c>
      <c r="Y446" s="20" t="s">
        <v>102</v>
      </c>
      <c r="Z446">
        <v>3348.8</v>
      </c>
      <c r="AA446">
        <v>1019.2</v>
      </c>
      <c r="AB446">
        <v>4368</v>
      </c>
      <c r="AC446">
        <v>104.89195631696499</v>
      </c>
      <c r="AD446">
        <v>9.2033961123054997</v>
      </c>
      <c r="AE446">
        <v>32.839343781506997</v>
      </c>
      <c r="AF446">
        <v>76.962478611619403</v>
      </c>
      <c r="AG446">
        <v>47.658050627202101</v>
      </c>
      <c r="AH446">
        <v>46.573170461239101</v>
      </c>
      <c r="AI446">
        <v>28.089053637169801</v>
      </c>
      <c r="AJ446">
        <v>30.013772754016799</v>
      </c>
      <c r="AK446">
        <v>17.207998876238801</v>
      </c>
      <c r="AL446" s="20">
        <v>89.7399238272465</v>
      </c>
      <c r="AM446" s="20">
        <v>31.929440050210701</v>
      </c>
      <c r="AN446" s="20" t="s">
        <v>373</v>
      </c>
    </row>
    <row r="447" spans="1:40" x14ac:dyDescent="0.25">
      <c r="A447" s="20">
        <v>445</v>
      </c>
      <c r="B447" s="20" t="s">
        <v>514</v>
      </c>
      <c r="C447" s="20" t="s">
        <v>56</v>
      </c>
      <c r="D447">
        <v>0</v>
      </c>
      <c r="E447" s="20" t="s">
        <v>372</v>
      </c>
      <c r="F447" s="20">
        <v>51.15</v>
      </c>
      <c r="G447" s="20">
        <v>178.65</v>
      </c>
      <c r="H447" s="20">
        <v>30</v>
      </c>
      <c r="I447" s="20">
        <v>7.73</v>
      </c>
      <c r="J447" s="20">
        <v>280.39</v>
      </c>
      <c r="K447" s="20">
        <v>18.82</v>
      </c>
      <c r="L447" s="20">
        <v>121.89</v>
      </c>
      <c r="M447" s="20">
        <v>0.38</v>
      </c>
      <c r="N447" s="20">
        <v>12</v>
      </c>
      <c r="O447" s="20">
        <v>15</v>
      </c>
      <c r="P447" s="20">
        <v>12</v>
      </c>
      <c r="Q447" s="20">
        <v>10.8</v>
      </c>
      <c r="R447">
        <v>144</v>
      </c>
      <c r="S447">
        <v>162</v>
      </c>
      <c r="T447">
        <v>42.024666666666697</v>
      </c>
      <c r="U447">
        <v>132</v>
      </c>
      <c r="V447">
        <v>140.4</v>
      </c>
      <c r="W447">
        <v>52.898181818181797</v>
      </c>
      <c r="X447">
        <v>48.260907536140301</v>
      </c>
      <c r="Y447" s="20" t="s">
        <v>102</v>
      </c>
      <c r="Z447">
        <v>5443.2</v>
      </c>
      <c r="AA447">
        <v>1684.8</v>
      </c>
      <c r="AB447">
        <v>7128</v>
      </c>
      <c r="AC447">
        <v>45.015997156566499</v>
      </c>
      <c r="AD447">
        <v>8.0721744282442103</v>
      </c>
      <c r="AE447">
        <v>17.275416058665598</v>
      </c>
      <c r="AF447">
        <v>68.379531169214204</v>
      </c>
      <c r="AG447">
        <v>79.698465331859495</v>
      </c>
      <c r="AH447">
        <v>29.841934899864398</v>
      </c>
      <c r="AI447">
        <v>31.691828166438501</v>
      </c>
      <c r="AJ447">
        <v>23.4739520330358</v>
      </c>
      <c r="AK447">
        <v>21.7552341492229</v>
      </c>
      <c r="AL447" s="20">
        <v>39.190303335646703</v>
      </c>
      <c r="AM447" s="20">
        <v>34.455673321530099</v>
      </c>
      <c r="AN447" s="20" t="s">
        <v>373</v>
      </c>
    </row>
    <row r="448" spans="1:40" x14ac:dyDescent="0.25">
      <c r="A448" s="20">
        <v>446</v>
      </c>
      <c r="B448" s="20" t="s">
        <v>515</v>
      </c>
      <c r="C448" s="20" t="s">
        <v>61</v>
      </c>
      <c r="D448">
        <v>1</v>
      </c>
      <c r="E448" s="20" t="s">
        <v>372</v>
      </c>
      <c r="F448" s="20">
        <v>-8.15</v>
      </c>
      <c r="G448" s="20">
        <v>124.87</v>
      </c>
      <c r="H448" s="20">
        <v>10.5</v>
      </c>
      <c r="I448" s="20">
        <v>7.47</v>
      </c>
      <c r="J448" s="20">
        <v>67.2</v>
      </c>
      <c r="K448" s="20">
        <v>22.5</v>
      </c>
      <c r="L448" s="20">
        <v>72.27</v>
      </c>
      <c r="M448" s="20">
        <v>0.85</v>
      </c>
      <c r="N448" s="20">
        <v>14</v>
      </c>
      <c r="O448" s="20">
        <v>15</v>
      </c>
      <c r="P448" s="20">
        <v>7</v>
      </c>
      <c r="Q448" s="20">
        <v>5.6</v>
      </c>
      <c r="R448">
        <v>98</v>
      </c>
      <c r="S448">
        <v>84</v>
      </c>
      <c r="T448">
        <v>69.383428571428595</v>
      </c>
      <c r="U448">
        <v>84</v>
      </c>
      <c r="V448">
        <v>72.8</v>
      </c>
      <c r="W448">
        <v>93.400769230769299</v>
      </c>
      <c r="X448">
        <v>95.763347610750102</v>
      </c>
      <c r="Y448" s="20" t="s">
        <v>102</v>
      </c>
      <c r="Z448">
        <v>1254.4000000000001</v>
      </c>
      <c r="AA448">
        <v>274.39999999999998</v>
      </c>
      <c r="AB448">
        <v>1528.8</v>
      </c>
      <c r="AC448">
        <v>4.4821869662029901</v>
      </c>
      <c r="AD448">
        <v>4.4821869662029901</v>
      </c>
      <c r="AE448">
        <v>4.4821869662029901</v>
      </c>
      <c r="AF448">
        <v>31.443650185826499</v>
      </c>
      <c r="AG448">
        <v>33.864330272653397</v>
      </c>
      <c r="AH448">
        <v>14.1765047272989</v>
      </c>
      <c r="AI448">
        <v>13.399869343498899</v>
      </c>
      <c r="AJ448">
        <v>13.122643279643899</v>
      </c>
      <c r="AK448">
        <v>10.9811579583429</v>
      </c>
      <c r="AL448" s="20">
        <v>6.7117722585022204</v>
      </c>
      <c r="AM448" s="20">
        <v>8.03846907066265</v>
      </c>
      <c r="AN448" s="20" t="s">
        <v>373</v>
      </c>
    </row>
    <row r="449" spans="1:40" x14ac:dyDescent="0.25">
      <c r="A449" s="20">
        <v>447</v>
      </c>
      <c r="B449" s="20" t="s">
        <v>516</v>
      </c>
      <c r="C449" s="20" t="s">
        <v>63</v>
      </c>
      <c r="D449">
        <v>0</v>
      </c>
      <c r="E449" s="20" t="s">
        <v>372</v>
      </c>
      <c r="F449" s="20">
        <v>-49.31</v>
      </c>
      <c r="G449" s="20">
        <v>161.35</v>
      </c>
      <c r="H449" s="20">
        <v>10</v>
      </c>
      <c r="I449" s="20">
        <v>8.08</v>
      </c>
      <c r="J449" s="20">
        <v>163</v>
      </c>
      <c r="K449" s="20">
        <v>69</v>
      </c>
      <c r="L449" s="20">
        <v>16.309999999999999</v>
      </c>
      <c r="M449" s="20">
        <v>0.22</v>
      </c>
      <c r="N449" s="20">
        <v>35</v>
      </c>
      <c r="O449" s="20">
        <v>6</v>
      </c>
      <c r="P449" s="20">
        <v>7</v>
      </c>
      <c r="Q449" s="20">
        <v>4.1900000000000004</v>
      </c>
      <c r="R449">
        <v>245</v>
      </c>
      <c r="S449">
        <v>25.14</v>
      </c>
      <c r="T449">
        <v>637.676952380952</v>
      </c>
      <c r="U449">
        <v>182</v>
      </c>
      <c r="V449">
        <v>25.14</v>
      </c>
      <c r="W449">
        <v>858.411282051282</v>
      </c>
      <c r="X449">
        <v>583.46163747060996</v>
      </c>
      <c r="Y449" s="20" t="s">
        <v>102</v>
      </c>
      <c r="Z449">
        <v>1818.46</v>
      </c>
      <c r="AA449">
        <v>410.62</v>
      </c>
      <c r="AB449">
        <v>2229.08</v>
      </c>
      <c r="AC449">
        <v>57.781296498088402</v>
      </c>
      <c r="AD449">
        <v>4.0790961008537199</v>
      </c>
      <c r="AE449">
        <v>4.0790961008537199</v>
      </c>
      <c r="AF449">
        <v>70.886437434547105</v>
      </c>
      <c r="AG449">
        <v>25.139982846943202</v>
      </c>
      <c r="AH449">
        <v>25.806455832064898</v>
      </c>
      <c r="AI449">
        <v>11.9931524706326</v>
      </c>
      <c r="AJ449">
        <v>14.581347531572099</v>
      </c>
      <c r="AK449">
        <v>8.4962594320611906</v>
      </c>
      <c r="AL449" s="20">
        <v>28.012480414272499</v>
      </c>
      <c r="AM449" s="20">
        <v>11.4125110983517</v>
      </c>
      <c r="AN449" s="20" t="s">
        <v>373</v>
      </c>
    </row>
    <row r="450" spans="1:40" x14ac:dyDescent="0.25">
      <c r="A450" s="20">
        <v>448</v>
      </c>
      <c r="B450" s="20" t="s">
        <v>517</v>
      </c>
      <c r="C450" s="20" t="s">
        <v>61</v>
      </c>
      <c r="D450">
        <v>1</v>
      </c>
      <c r="E450" s="20" t="s">
        <v>372</v>
      </c>
      <c r="F450" s="20">
        <v>1.95</v>
      </c>
      <c r="G450" s="20">
        <v>96.91</v>
      </c>
      <c r="H450" s="20">
        <v>28.5</v>
      </c>
      <c r="I450" s="20">
        <v>8.59</v>
      </c>
      <c r="J450" s="20">
        <v>326</v>
      </c>
      <c r="K450" s="20">
        <v>10</v>
      </c>
      <c r="L450" s="20">
        <v>118</v>
      </c>
      <c r="M450" s="20">
        <v>1.58</v>
      </c>
      <c r="N450" s="20">
        <v>19</v>
      </c>
      <c r="O450" s="20">
        <v>20</v>
      </c>
      <c r="P450" s="20">
        <v>22</v>
      </c>
      <c r="Q450" s="20">
        <v>10</v>
      </c>
      <c r="R450">
        <v>418</v>
      </c>
      <c r="S450">
        <v>200</v>
      </c>
      <c r="T450">
        <v>148.72693609022599</v>
      </c>
      <c r="U450">
        <v>418</v>
      </c>
      <c r="V450">
        <v>220</v>
      </c>
      <c r="W450">
        <v>189.28882775119601</v>
      </c>
      <c r="X450">
        <v>172.627004633421</v>
      </c>
      <c r="Y450" s="20" t="s">
        <v>102</v>
      </c>
      <c r="Z450">
        <v>14960</v>
      </c>
      <c r="AA450">
        <v>2200</v>
      </c>
      <c r="AB450">
        <v>17160</v>
      </c>
      <c r="AC450">
        <v>57.008771254956898</v>
      </c>
      <c r="AD450">
        <v>12.083045973594601</v>
      </c>
      <c r="AE450">
        <v>33.376638536557302</v>
      </c>
      <c r="AF450">
        <v>164.561658796952</v>
      </c>
      <c r="AG450">
        <v>85.731697716708396</v>
      </c>
      <c r="AH450">
        <v>101.674677089794</v>
      </c>
      <c r="AI450">
        <v>51.724221210009198</v>
      </c>
      <c r="AJ450">
        <v>43.865710243698601</v>
      </c>
      <c r="AK450">
        <v>20.3464680452138</v>
      </c>
      <c r="AL450" s="20">
        <v>59.578882057655299</v>
      </c>
      <c r="AM450" s="20">
        <v>40.441030053399999</v>
      </c>
      <c r="AN450" s="20" t="s">
        <v>373</v>
      </c>
    </row>
    <row r="451" spans="1:40" x14ac:dyDescent="0.25">
      <c r="A451" s="20">
        <v>449</v>
      </c>
      <c r="B451" s="20" t="s">
        <v>518</v>
      </c>
      <c r="C451" s="20" t="s">
        <v>56</v>
      </c>
      <c r="D451">
        <v>0</v>
      </c>
      <c r="E451" s="20" t="s">
        <v>372</v>
      </c>
      <c r="F451" s="20">
        <v>-20.010000000000002</v>
      </c>
      <c r="G451" s="20">
        <v>-69.239999999999995</v>
      </c>
      <c r="H451" s="20">
        <v>108</v>
      </c>
      <c r="I451" s="20">
        <v>7.74</v>
      </c>
      <c r="J451" s="20">
        <v>175</v>
      </c>
      <c r="K451" s="20">
        <v>15</v>
      </c>
      <c r="L451" s="20">
        <v>270</v>
      </c>
      <c r="M451" s="20">
        <v>99.58</v>
      </c>
      <c r="N451" s="20">
        <v>22</v>
      </c>
      <c r="O451" s="20">
        <v>16</v>
      </c>
      <c r="P451" s="20">
        <v>5</v>
      </c>
      <c r="Q451" s="20">
        <v>5</v>
      </c>
      <c r="R451">
        <v>110</v>
      </c>
      <c r="S451">
        <v>80</v>
      </c>
      <c r="T451">
        <v>90.861079545454601</v>
      </c>
      <c r="U451">
        <v>65</v>
      </c>
      <c r="V451">
        <v>50</v>
      </c>
      <c r="W451">
        <v>246.02384615384599</v>
      </c>
      <c r="X451">
        <v>240.47318517848399</v>
      </c>
      <c r="Y451" s="20" t="s">
        <v>102</v>
      </c>
      <c r="Z451">
        <v>675</v>
      </c>
      <c r="AA451">
        <v>450</v>
      </c>
      <c r="AB451">
        <v>1125</v>
      </c>
      <c r="AC451">
        <v>17.677669529663699</v>
      </c>
      <c r="AD451">
        <v>3.53553390593274</v>
      </c>
      <c r="AE451">
        <v>3.53553390593274</v>
      </c>
      <c r="AF451">
        <v>45.0404644494105</v>
      </c>
      <c r="AG451">
        <v>49.110980147815297</v>
      </c>
      <c r="AH451">
        <v>16.955263404588699</v>
      </c>
      <c r="AI451">
        <v>17.946686523876799</v>
      </c>
      <c r="AJ451">
        <v>10.418387771822401</v>
      </c>
      <c r="AK451">
        <v>10.5635079068902</v>
      </c>
      <c r="AL451" s="20">
        <v>4.1218908306746798</v>
      </c>
      <c r="AM451" s="20">
        <v>4.6223849179833598</v>
      </c>
      <c r="AN451" s="20" t="s">
        <v>373</v>
      </c>
    </row>
    <row r="452" spans="1:40" x14ac:dyDescent="0.25">
      <c r="A452" s="20">
        <v>450</v>
      </c>
      <c r="B452" s="20" t="s">
        <v>519</v>
      </c>
      <c r="C452" s="20" t="s">
        <v>63</v>
      </c>
      <c r="D452">
        <v>0</v>
      </c>
      <c r="E452" s="20" t="s">
        <v>372</v>
      </c>
      <c r="F452" s="20">
        <v>41.3</v>
      </c>
      <c r="G452" s="20">
        <v>-125.97</v>
      </c>
      <c r="H452" s="20">
        <v>10</v>
      </c>
      <c r="I452" s="20">
        <v>7.2</v>
      </c>
      <c r="J452" s="20">
        <v>47</v>
      </c>
      <c r="K452" s="20">
        <v>82</v>
      </c>
      <c r="L452" s="20">
        <v>7</v>
      </c>
      <c r="M452" s="20">
        <v>3.06</v>
      </c>
      <c r="N452" s="20">
        <v>38</v>
      </c>
      <c r="O452" s="20">
        <v>9</v>
      </c>
      <c r="P452" s="20">
        <v>2</v>
      </c>
      <c r="Q452" s="20">
        <v>2</v>
      </c>
      <c r="R452">
        <v>76</v>
      </c>
      <c r="S452">
        <v>18</v>
      </c>
      <c r="T452">
        <v>185.06099415204699</v>
      </c>
      <c r="U452">
        <v>68</v>
      </c>
      <c r="V452">
        <v>16</v>
      </c>
      <c r="W452">
        <v>232.68698529411799</v>
      </c>
      <c r="X452">
        <v>230.869170632465</v>
      </c>
      <c r="Y452" s="20" t="s">
        <v>102</v>
      </c>
      <c r="Z452">
        <v>232</v>
      </c>
      <c r="AA452">
        <v>56</v>
      </c>
      <c r="AB452">
        <v>288</v>
      </c>
      <c r="AC452">
        <v>35.805027579936301</v>
      </c>
      <c r="AD452">
        <v>1.4142135623731</v>
      </c>
      <c r="AE452">
        <v>5.0990195135927801</v>
      </c>
      <c r="AF452">
        <v>20.1161333002511</v>
      </c>
      <c r="AG452">
        <v>12.2356453274949</v>
      </c>
      <c r="AH452">
        <v>6.8150431171651897</v>
      </c>
      <c r="AI452">
        <v>5.2406035607524197</v>
      </c>
      <c r="AJ452">
        <v>4.2112176157441299</v>
      </c>
      <c r="AK452">
        <v>4.0324363875146796</v>
      </c>
      <c r="AL452" s="20">
        <v>10.114865500341599</v>
      </c>
      <c r="AM452" s="20">
        <v>1.92439331998425</v>
      </c>
      <c r="AN452" s="20" t="s">
        <v>373</v>
      </c>
    </row>
    <row r="453" spans="1:40" x14ac:dyDescent="0.25">
      <c r="A453" s="20">
        <v>451</v>
      </c>
      <c r="B453" s="20" t="s">
        <v>520</v>
      </c>
      <c r="C453" s="20" t="s">
        <v>61</v>
      </c>
      <c r="D453">
        <v>0</v>
      </c>
      <c r="E453" s="20" t="s">
        <v>372</v>
      </c>
      <c r="F453" s="20">
        <v>38.28</v>
      </c>
      <c r="G453" s="20">
        <v>142.04</v>
      </c>
      <c r="H453" s="20">
        <v>36</v>
      </c>
      <c r="I453" s="20">
        <v>7.18</v>
      </c>
      <c r="J453" s="20">
        <v>202</v>
      </c>
      <c r="K453" s="20">
        <v>25</v>
      </c>
      <c r="L453" s="20">
        <v>81</v>
      </c>
      <c r="M453" s="20">
        <v>24.14</v>
      </c>
      <c r="N453" s="20">
        <v>19</v>
      </c>
      <c r="O453" s="20">
        <v>17</v>
      </c>
      <c r="P453" s="20">
        <v>6</v>
      </c>
      <c r="Q453" s="20">
        <v>3.3</v>
      </c>
      <c r="R453">
        <v>114</v>
      </c>
      <c r="S453">
        <v>56.1</v>
      </c>
      <c r="T453">
        <v>17.890866873065001</v>
      </c>
      <c r="U453">
        <v>48</v>
      </c>
      <c r="V453">
        <v>42.9</v>
      </c>
      <c r="W453">
        <v>55.564903846153904</v>
      </c>
      <c r="X453">
        <v>58.928545320484702</v>
      </c>
      <c r="Y453" s="20" t="s">
        <v>102</v>
      </c>
      <c r="Z453">
        <v>316.8</v>
      </c>
      <c r="AA453">
        <v>158.4</v>
      </c>
      <c r="AB453">
        <v>475.2</v>
      </c>
      <c r="AC453">
        <v>27.050369683240898</v>
      </c>
      <c r="AD453">
        <v>3.4238136631540002</v>
      </c>
      <c r="AE453">
        <v>5.7881344144724203</v>
      </c>
      <c r="AF453">
        <v>21.000729766906598</v>
      </c>
      <c r="AG453">
        <v>24.983947700489601</v>
      </c>
      <c r="AH453">
        <v>10.552661105188299</v>
      </c>
      <c r="AI453">
        <v>9.14849852124234</v>
      </c>
      <c r="AJ453">
        <v>10.9359670468543</v>
      </c>
      <c r="AK453">
        <v>6.7402447811060799</v>
      </c>
      <c r="AL453" s="20">
        <v>12.7137562384214</v>
      </c>
      <c r="AM453" s="20">
        <v>12.8630327007281</v>
      </c>
      <c r="AN453" s="20" t="s">
        <v>373</v>
      </c>
    </row>
    <row r="454" spans="1:40" x14ac:dyDescent="0.25">
      <c r="A454" s="20">
        <v>452</v>
      </c>
      <c r="B454" s="20" t="s">
        <v>521</v>
      </c>
      <c r="C454" s="20" t="s">
        <v>61</v>
      </c>
      <c r="D454">
        <v>0</v>
      </c>
      <c r="E454" s="20" t="s">
        <v>372</v>
      </c>
      <c r="F454" s="20">
        <v>-4.54</v>
      </c>
      <c r="G454" s="20">
        <v>153.47</v>
      </c>
      <c r="H454" s="20">
        <v>90</v>
      </c>
      <c r="I454" s="20">
        <v>7.63</v>
      </c>
      <c r="J454" s="20">
        <v>318.61</v>
      </c>
      <c r="K454" s="20">
        <v>60.26</v>
      </c>
      <c r="L454" s="20">
        <v>89.17</v>
      </c>
      <c r="M454" s="20">
        <v>19.45</v>
      </c>
      <c r="N454" s="20">
        <v>13</v>
      </c>
      <c r="O454" s="20">
        <v>12</v>
      </c>
      <c r="P454" s="20">
        <v>12.5</v>
      </c>
      <c r="Q454" s="20">
        <v>12.5</v>
      </c>
      <c r="R454">
        <v>162.5</v>
      </c>
      <c r="S454">
        <v>150</v>
      </c>
      <c r="T454">
        <v>22.4822435897436</v>
      </c>
      <c r="U454">
        <v>137.5</v>
      </c>
      <c r="V454">
        <v>112.5</v>
      </c>
      <c r="W454">
        <v>35.4265656565657</v>
      </c>
      <c r="X454">
        <v>37.457061133020702</v>
      </c>
      <c r="Y454" s="20" t="s">
        <v>102</v>
      </c>
      <c r="Z454">
        <v>3281.25</v>
      </c>
      <c r="AA454">
        <v>2031.25</v>
      </c>
      <c r="AB454">
        <v>5312.5</v>
      </c>
      <c r="AC454">
        <v>44.194173824159201</v>
      </c>
      <c r="AD454">
        <v>8.8388347648318408</v>
      </c>
      <c r="AE454">
        <v>8.8388347648318408</v>
      </c>
      <c r="AF454">
        <v>83.753522014687505</v>
      </c>
      <c r="AG454">
        <v>57.864054875793002</v>
      </c>
      <c r="AH454">
        <v>29.445224098672</v>
      </c>
      <c r="AI454">
        <v>23.485728308423401</v>
      </c>
      <c r="AJ454">
        <v>25.083812557001298</v>
      </c>
      <c r="AK454">
        <v>23.246514509363301</v>
      </c>
      <c r="AL454" s="20">
        <v>54.834540000441301</v>
      </c>
      <c r="AM454" s="20">
        <v>44.804058530561697</v>
      </c>
      <c r="AN454" s="20" t="s">
        <v>373</v>
      </c>
    </row>
    <row r="455" spans="1:40" x14ac:dyDescent="0.25">
      <c r="A455" s="20">
        <v>453</v>
      </c>
      <c r="B455" s="20" t="s">
        <v>522</v>
      </c>
      <c r="C455" s="20" t="s">
        <v>56</v>
      </c>
      <c r="D455">
        <v>0</v>
      </c>
      <c r="E455" s="20" t="s">
        <v>372</v>
      </c>
      <c r="F455" s="20">
        <v>-5.68</v>
      </c>
      <c r="G455" s="20">
        <v>-76.400000000000006</v>
      </c>
      <c r="H455" s="20">
        <v>115</v>
      </c>
      <c r="I455" s="20">
        <v>7.48</v>
      </c>
      <c r="J455" s="20">
        <v>346.69</v>
      </c>
      <c r="K455" s="20">
        <v>36</v>
      </c>
      <c r="L455" s="20">
        <v>267.85000000000002</v>
      </c>
      <c r="M455" s="20">
        <v>103.99</v>
      </c>
      <c r="N455" s="20">
        <v>10</v>
      </c>
      <c r="O455" s="20">
        <v>11</v>
      </c>
      <c r="P455" s="20">
        <v>5</v>
      </c>
      <c r="Q455" s="20">
        <v>5.35</v>
      </c>
      <c r="R455">
        <v>50</v>
      </c>
      <c r="S455">
        <v>58.85</v>
      </c>
      <c r="T455">
        <v>110.34</v>
      </c>
      <c r="U455">
        <v>40</v>
      </c>
      <c r="V455">
        <v>37.450000000000003</v>
      </c>
      <c r="W455">
        <v>216.73928571428601</v>
      </c>
      <c r="X455">
        <v>213.24727721145999</v>
      </c>
      <c r="Y455" s="20" t="s">
        <v>102</v>
      </c>
      <c r="Z455">
        <v>294.25</v>
      </c>
      <c r="AA455">
        <v>267.5</v>
      </c>
      <c r="AB455">
        <v>561.75</v>
      </c>
      <c r="AC455">
        <v>13.6066390045448</v>
      </c>
      <c r="AD455">
        <v>3.6613692793816899</v>
      </c>
      <c r="AE455">
        <v>3.6613692793816899</v>
      </c>
      <c r="AF455">
        <v>30.296339935650501</v>
      </c>
      <c r="AG455">
        <v>28.685566343613502</v>
      </c>
      <c r="AH455">
        <v>10.318023211601499</v>
      </c>
      <c r="AI455">
        <v>10.366666994989201</v>
      </c>
      <c r="AJ455">
        <v>9.8443024206081802</v>
      </c>
      <c r="AK455">
        <v>10.570724236673099</v>
      </c>
      <c r="AL455" s="20">
        <v>8.1920907123883797</v>
      </c>
      <c r="AM455" s="20">
        <v>7.8514082539376302</v>
      </c>
      <c r="AN455" s="20" t="s">
        <v>373</v>
      </c>
    </row>
    <row r="456" spans="1:40" x14ac:dyDescent="0.25">
      <c r="A456" s="20">
        <v>454</v>
      </c>
      <c r="B456" s="20" t="s">
        <v>523</v>
      </c>
      <c r="C456" s="20" t="s">
        <v>56</v>
      </c>
      <c r="D456">
        <v>0</v>
      </c>
      <c r="E456" s="20" t="s">
        <v>372</v>
      </c>
      <c r="F456" s="20">
        <v>34.493000000000002</v>
      </c>
      <c r="G456" s="20">
        <v>73.629000000000005</v>
      </c>
      <c r="H456" s="20">
        <v>11</v>
      </c>
      <c r="I456" s="20">
        <v>7.57</v>
      </c>
      <c r="J456" s="20">
        <v>320</v>
      </c>
      <c r="K456" s="20">
        <v>29</v>
      </c>
      <c r="L456" s="20">
        <v>140</v>
      </c>
      <c r="M456" s="20">
        <v>0.12</v>
      </c>
      <c r="N456" s="20">
        <v>20</v>
      </c>
      <c r="O456" s="20">
        <v>10</v>
      </c>
      <c r="P456" s="20">
        <v>5</v>
      </c>
      <c r="Q456" s="20">
        <v>3.45</v>
      </c>
      <c r="R456">
        <v>100</v>
      </c>
      <c r="S456">
        <v>34.5</v>
      </c>
      <c r="T456">
        <v>258.93385000000001</v>
      </c>
      <c r="U456">
        <v>75</v>
      </c>
      <c r="V456">
        <v>34.5</v>
      </c>
      <c r="W456">
        <v>345.245133333333</v>
      </c>
      <c r="X456">
        <v>283.00030069935002</v>
      </c>
      <c r="Y456" s="20" t="s">
        <v>102</v>
      </c>
      <c r="Z456">
        <v>672.75</v>
      </c>
      <c r="AA456">
        <v>327.75</v>
      </c>
      <c r="AB456">
        <v>1000.5</v>
      </c>
      <c r="AC456">
        <v>25.535379867940101</v>
      </c>
      <c r="AD456">
        <v>3.0373713964545099</v>
      </c>
      <c r="AE456">
        <v>3.0373713964545099</v>
      </c>
      <c r="AF456">
        <v>43.114704907255302</v>
      </c>
      <c r="AG456">
        <v>22.715276854682202</v>
      </c>
      <c r="AH456">
        <v>12.817739000591899</v>
      </c>
      <c r="AI456">
        <v>7.8888900905978199</v>
      </c>
      <c r="AJ456">
        <v>10.2755760779248</v>
      </c>
      <c r="AK456">
        <v>7.0426122395334403</v>
      </c>
      <c r="AL456" s="20">
        <v>14.1801665296991</v>
      </c>
      <c r="AM456" s="20">
        <v>10.3580005493338</v>
      </c>
      <c r="AN456" s="20" t="s">
        <v>373</v>
      </c>
    </row>
    <row r="457" spans="1:40" x14ac:dyDescent="0.25">
      <c r="A457" s="20">
        <v>455</v>
      </c>
      <c r="B457" s="20" t="s">
        <v>524</v>
      </c>
      <c r="C457" s="20" t="s">
        <v>61</v>
      </c>
      <c r="D457">
        <v>0</v>
      </c>
      <c r="E457" s="20" t="s">
        <v>372</v>
      </c>
      <c r="F457" s="20">
        <v>60.95</v>
      </c>
      <c r="G457" s="20">
        <v>167.09</v>
      </c>
      <c r="H457" s="20">
        <v>22</v>
      </c>
      <c r="I457" s="20">
        <v>7.58</v>
      </c>
      <c r="J457" s="20">
        <v>206.51</v>
      </c>
      <c r="K457" s="20">
        <v>40.340000000000003</v>
      </c>
      <c r="L457" s="20">
        <v>76.489999999999995</v>
      </c>
      <c r="M457" s="20">
        <v>0.63</v>
      </c>
      <c r="N457" s="20">
        <v>29</v>
      </c>
      <c r="O457" s="20">
        <v>12</v>
      </c>
      <c r="P457" s="20">
        <v>6</v>
      </c>
      <c r="Q457" s="20">
        <v>6</v>
      </c>
      <c r="R457">
        <v>174</v>
      </c>
      <c r="S457">
        <v>72</v>
      </c>
      <c r="T457">
        <v>62.448247126436797</v>
      </c>
      <c r="U457">
        <v>150</v>
      </c>
      <c r="V457">
        <v>48</v>
      </c>
      <c r="W457">
        <v>108.65994999999999</v>
      </c>
      <c r="X457">
        <v>104.55991263803401</v>
      </c>
      <c r="Y457" s="20" t="s">
        <v>102</v>
      </c>
      <c r="Z457">
        <v>1296</v>
      </c>
      <c r="AA457">
        <v>648</v>
      </c>
      <c r="AB457">
        <v>1944</v>
      </c>
      <c r="AC457">
        <v>60.745370193949803</v>
      </c>
      <c r="AD457">
        <v>9.4868329805051399</v>
      </c>
      <c r="AE457">
        <v>21.213203435596402</v>
      </c>
      <c r="AF457">
        <v>56.506655443244497</v>
      </c>
      <c r="AG457">
        <v>23.621754448476501</v>
      </c>
      <c r="AH457">
        <v>38.736745229020499</v>
      </c>
      <c r="AI457">
        <v>19.0246508798473</v>
      </c>
      <c r="AJ457">
        <v>12.399157030621</v>
      </c>
      <c r="AK457">
        <v>11.3115512441261</v>
      </c>
      <c r="AL457" s="20">
        <v>38.064723646047902</v>
      </c>
      <c r="AM457" s="20">
        <v>24.758313429028199</v>
      </c>
      <c r="AN457" s="20" t="s">
        <v>373</v>
      </c>
    </row>
    <row r="458" spans="1:40" x14ac:dyDescent="0.25">
      <c r="A458" s="20">
        <v>456</v>
      </c>
      <c r="B458" s="20" t="s">
        <v>525</v>
      </c>
      <c r="C458" s="20" t="s">
        <v>56</v>
      </c>
      <c r="D458">
        <v>1</v>
      </c>
      <c r="E458" s="20" t="s">
        <v>372</v>
      </c>
      <c r="F458" s="20">
        <v>-20.190000000000001</v>
      </c>
      <c r="G458" s="20">
        <v>-174.12</v>
      </c>
      <c r="H458" s="20">
        <v>65</v>
      </c>
      <c r="I458" s="20">
        <v>7.95</v>
      </c>
      <c r="J458" s="20">
        <v>221</v>
      </c>
      <c r="K458" s="20">
        <v>22.04</v>
      </c>
      <c r="L458" s="20">
        <v>122.98</v>
      </c>
      <c r="M458" s="20">
        <v>44.36</v>
      </c>
      <c r="N458" s="20">
        <v>13</v>
      </c>
      <c r="O458" s="20">
        <v>13</v>
      </c>
      <c r="P458" s="20">
        <v>12</v>
      </c>
      <c r="Q458" s="20">
        <v>10</v>
      </c>
      <c r="R458">
        <v>156</v>
      </c>
      <c r="S458">
        <v>130</v>
      </c>
      <c r="T458">
        <v>82.016568047337302</v>
      </c>
      <c r="U458">
        <v>108</v>
      </c>
      <c r="V458">
        <v>90</v>
      </c>
      <c r="W458">
        <v>171.120987654321</v>
      </c>
      <c r="X458">
        <v>187.41993478142899</v>
      </c>
      <c r="Y458" s="20" t="s">
        <v>102</v>
      </c>
      <c r="Z458">
        <v>1680</v>
      </c>
      <c r="AA458">
        <v>720</v>
      </c>
      <c r="AB458">
        <v>2400</v>
      </c>
      <c r="AC458">
        <v>23.430749027720001</v>
      </c>
      <c r="AD458">
        <v>7.8102496759066504</v>
      </c>
      <c r="AE458">
        <v>7.8102496759066504</v>
      </c>
      <c r="AF458">
        <v>53.687550136386797</v>
      </c>
      <c r="AG458">
        <v>49.601172361330804</v>
      </c>
      <c r="AH458">
        <v>20.5686869742437</v>
      </c>
      <c r="AI458">
        <v>18.057811342840299</v>
      </c>
      <c r="AJ458">
        <v>22.564128175427001</v>
      </c>
      <c r="AK458">
        <v>19.0357407300605</v>
      </c>
      <c r="AL458" s="20">
        <v>8.0336331811951691</v>
      </c>
      <c r="AM458" s="20">
        <v>4.7022046935453599</v>
      </c>
      <c r="AN458" s="20" t="s">
        <v>373</v>
      </c>
    </row>
    <row r="459" spans="1:40" x14ac:dyDescent="0.25">
      <c r="A459" s="20">
        <v>457</v>
      </c>
      <c r="B459" s="20" t="s">
        <v>526</v>
      </c>
      <c r="C459" s="20" t="s">
        <v>61</v>
      </c>
      <c r="D459">
        <v>0</v>
      </c>
      <c r="E459" s="20" t="s">
        <v>372</v>
      </c>
      <c r="F459" s="20">
        <v>-5.93</v>
      </c>
      <c r="G459" s="20">
        <v>107.68</v>
      </c>
      <c r="H459" s="20">
        <v>291.2</v>
      </c>
      <c r="I459" s="20">
        <v>7.53</v>
      </c>
      <c r="J459" s="20">
        <v>81.709999999999994</v>
      </c>
      <c r="K459" s="20">
        <v>77.930000000000007</v>
      </c>
      <c r="L459" s="20">
        <v>62.13</v>
      </c>
      <c r="M459" s="20">
        <v>246.7</v>
      </c>
      <c r="N459" s="20">
        <v>11</v>
      </c>
      <c r="O459" s="20">
        <v>11</v>
      </c>
      <c r="P459" s="20">
        <v>7</v>
      </c>
      <c r="Q459" s="20">
        <v>7</v>
      </c>
      <c r="R459">
        <v>77</v>
      </c>
      <c r="S459">
        <v>77</v>
      </c>
      <c r="T459">
        <v>55.987685950413201</v>
      </c>
      <c r="U459">
        <v>56</v>
      </c>
      <c r="V459">
        <v>42</v>
      </c>
      <c r="W459">
        <v>141.135625</v>
      </c>
      <c r="X459">
        <v>196.48362269640501</v>
      </c>
      <c r="Y459" s="20" t="s">
        <v>102</v>
      </c>
      <c r="Z459">
        <v>294</v>
      </c>
      <c r="AA459">
        <v>245</v>
      </c>
      <c r="AB459">
        <v>539</v>
      </c>
      <c r="AC459">
        <v>11.067971810589301</v>
      </c>
      <c r="AD459">
        <v>11.067971810589301</v>
      </c>
      <c r="AE459">
        <v>11.067971810589301</v>
      </c>
      <c r="AF459">
        <v>32.183995951397101</v>
      </c>
      <c r="AG459">
        <v>14.7187880136686</v>
      </c>
      <c r="AH459">
        <v>12.0406626223677</v>
      </c>
      <c r="AI459">
        <v>7.8053039284504298</v>
      </c>
      <c r="AJ459">
        <v>13.1980494459507</v>
      </c>
      <c r="AK459">
        <v>11.8327900988991</v>
      </c>
      <c r="AL459" s="20">
        <v>18.468971802458299</v>
      </c>
      <c r="AM459" s="20">
        <v>18.316219888667</v>
      </c>
      <c r="AN459" s="20" t="s">
        <v>373</v>
      </c>
    </row>
    <row r="460" spans="1:40" x14ac:dyDescent="0.25">
      <c r="A460" s="20">
        <v>458</v>
      </c>
      <c r="B460" s="20" t="s">
        <v>527</v>
      </c>
      <c r="C460" s="20" t="s">
        <v>61</v>
      </c>
      <c r="D460">
        <v>0</v>
      </c>
      <c r="E460" s="20" t="s">
        <v>372</v>
      </c>
      <c r="F460" s="20">
        <v>-13.39</v>
      </c>
      <c r="G460" s="20">
        <v>-76.599999999999994</v>
      </c>
      <c r="H460" s="20">
        <v>39</v>
      </c>
      <c r="I460" s="20">
        <v>8.17</v>
      </c>
      <c r="J460" s="20">
        <v>318</v>
      </c>
      <c r="K460" s="20">
        <v>30</v>
      </c>
      <c r="L460" s="20">
        <v>62.5</v>
      </c>
      <c r="M460" s="20">
        <v>0.69</v>
      </c>
      <c r="N460" s="20">
        <v>16</v>
      </c>
      <c r="O460" s="20">
        <v>9</v>
      </c>
      <c r="P460" s="20">
        <v>12</v>
      </c>
      <c r="Q460" s="20">
        <v>10</v>
      </c>
      <c r="R460">
        <v>192</v>
      </c>
      <c r="S460">
        <v>90</v>
      </c>
      <c r="T460">
        <v>110.08526785714299</v>
      </c>
      <c r="U460">
        <v>168</v>
      </c>
      <c r="V460">
        <v>180</v>
      </c>
      <c r="W460">
        <v>146.78035714285701</v>
      </c>
      <c r="X460">
        <v>152.279335009878</v>
      </c>
      <c r="Y460" s="20" t="s">
        <v>102</v>
      </c>
      <c r="Z460">
        <v>6600</v>
      </c>
      <c r="AA460">
        <v>1680</v>
      </c>
      <c r="AB460">
        <v>8280</v>
      </c>
      <c r="AC460">
        <v>103.870111196629</v>
      </c>
      <c r="AD460">
        <v>7.8102496759066504</v>
      </c>
      <c r="AE460">
        <v>48.466483264210503</v>
      </c>
      <c r="AF460">
        <v>69.005351586030201</v>
      </c>
      <c r="AG460">
        <v>62.719439615909202</v>
      </c>
      <c r="AH460">
        <v>38.529438562552798</v>
      </c>
      <c r="AI460">
        <v>34.191350951469403</v>
      </c>
      <c r="AJ460">
        <v>23.1972606686308</v>
      </c>
      <c r="AK460">
        <v>19.580236900586801</v>
      </c>
      <c r="AL460" s="20">
        <v>107.52452827913299</v>
      </c>
      <c r="AM460" s="20">
        <v>66.638921321552004</v>
      </c>
      <c r="AN460" s="20" t="s">
        <v>373</v>
      </c>
    </row>
    <row r="461" spans="1:40" x14ac:dyDescent="0.25">
      <c r="A461" s="20">
        <v>459</v>
      </c>
      <c r="B461" s="20" t="s">
        <v>528</v>
      </c>
      <c r="C461" s="20" t="s">
        <v>61</v>
      </c>
      <c r="D461">
        <v>1</v>
      </c>
      <c r="E461" s="20" t="s">
        <v>372</v>
      </c>
      <c r="F461" s="20">
        <v>-23.042999999999999</v>
      </c>
      <c r="G461" s="20">
        <v>-174.66</v>
      </c>
      <c r="H461" s="20">
        <v>31</v>
      </c>
      <c r="I461" s="20">
        <v>7.69</v>
      </c>
      <c r="J461" s="20">
        <v>204.63</v>
      </c>
      <c r="K461" s="20">
        <v>50</v>
      </c>
      <c r="L461" s="20">
        <v>97.74</v>
      </c>
      <c r="M461" s="20">
        <v>10.69</v>
      </c>
      <c r="N461" s="20">
        <v>15</v>
      </c>
      <c r="O461" s="20">
        <v>13</v>
      </c>
      <c r="P461" s="20">
        <v>6.5</v>
      </c>
      <c r="Q461" s="20">
        <v>5.89</v>
      </c>
      <c r="R461">
        <v>97.5</v>
      </c>
      <c r="S461">
        <v>76.569999999999993</v>
      </c>
      <c r="T461">
        <v>88.597589743589793</v>
      </c>
      <c r="U461">
        <v>78</v>
      </c>
      <c r="V461">
        <v>47.12</v>
      </c>
      <c r="W461">
        <v>179.96385416666701</v>
      </c>
      <c r="X461">
        <v>194.64605148431301</v>
      </c>
      <c r="Y461" s="20" t="s">
        <v>102</v>
      </c>
      <c r="Z461">
        <v>765.7</v>
      </c>
      <c r="AA461">
        <v>459.42</v>
      </c>
      <c r="AB461">
        <v>1225.1199999999999</v>
      </c>
      <c r="AC461">
        <v>45.238182158437802</v>
      </c>
      <c r="AD461">
        <v>4.3858323041356702</v>
      </c>
      <c r="AE461">
        <v>9.4138050224125607</v>
      </c>
      <c r="AF461">
        <v>50.030139161553102</v>
      </c>
      <c r="AG461">
        <v>29.634053416939501</v>
      </c>
      <c r="AH461">
        <v>15.4654619588052</v>
      </c>
      <c r="AI461">
        <v>11.1473639083045</v>
      </c>
      <c r="AJ461">
        <v>13.335046419181801</v>
      </c>
      <c r="AK461">
        <v>11.3878785937109</v>
      </c>
      <c r="AL461" s="20">
        <v>19.057486520787599</v>
      </c>
      <c r="AM461" s="20">
        <v>17.579824346107699</v>
      </c>
      <c r="AN461" s="20" t="s">
        <v>373</v>
      </c>
    </row>
    <row r="462" spans="1:40" x14ac:dyDescent="0.25">
      <c r="A462" s="20">
        <v>460</v>
      </c>
      <c r="B462" s="20" t="s">
        <v>529</v>
      </c>
      <c r="C462" s="20" t="s">
        <v>56</v>
      </c>
      <c r="D462">
        <v>0</v>
      </c>
      <c r="E462" s="20" t="s">
        <v>372</v>
      </c>
      <c r="F462" s="20">
        <v>14.1</v>
      </c>
      <c r="G462" s="20">
        <v>92.89</v>
      </c>
      <c r="H462" s="20">
        <v>24</v>
      </c>
      <c r="I462" s="20">
        <v>7.45</v>
      </c>
      <c r="J462" s="20">
        <v>202.5</v>
      </c>
      <c r="K462" s="20">
        <v>35</v>
      </c>
      <c r="L462" s="20">
        <v>271</v>
      </c>
      <c r="M462" s="20">
        <v>0.11</v>
      </c>
      <c r="N462" s="20">
        <v>30</v>
      </c>
      <c r="O462" s="20">
        <v>10</v>
      </c>
      <c r="P462" s="20">
        <v>7</v>
      </c>
      <c r="Q462" s="20">
        <v>7.57</v>
      </c>
      <c r="R462">
        <v>210</v>
      </c>
      <c r="S462">
        <v>75.7</v>
      </c>
      <c r="T462">
        <v>31.164166666666699</v>
      </c>
      <c r="U462">
        <v>147</v>
      </c>
      <c r="V462">
        <v>75.7</v>
      </c>
      <c r="W462">
        <v>44.520238095238099</v>
      </c>
      <c r="X462">
        <v>43.863370088455</v>
      </c>
      <c r="Y462" s="20" t="s">
        <v>102</v>
      </c>
      <c r="Z462">
        <v>2649.5</v>
      </c>
      <c r="AA462">
        <v>900.83</v>
      </c>
      <c r="AB462">
        <v>3550.33</v>
      </c>
      <c r="AC462">
        <v>30.958126962075699</v>
      </c>
      <c r="AD462">
        <v>5.1552133806468197</v>
      </c>
      <c r="AE462">
        <v>19.245924893337801</v>
      </c>
      <c r="AF462">
        <v>43.6195157765262</v>
      </c>
      <c r="AG462">
        <v>34.274624205750399</v>
      </c>
      <c r="AH462">
        <v>24.398867362278502</v>
      </c>
      <c r="AI462">
        <v>20.892957179266201</v>
      </c>
      <c r="AJ462">
        <v>13.666967597544501</v>
      </c>
      <c r="AK462">
        <v>14.079414185907201</v>
      </c>
      <c r="AL462" s="20">
        <v>31.0407077092324</v>
      </c>
      <c r="AM462" s="20">
        <v>36.016950914951103</v>
      </c>
      <c r="AN462" s="20" t="s">
        <v>373</v>
      </c>
    </row>
    <row r="463" spans="1:40" ht="14.5" x14ac:dyDescent="0.35">
      <c r="A463" s="20">
        <v>461</v>
      </c>
      <c r="B463" s="22" t="s">
        <v>530</v>
      </c>
      <c r="C463" s="22" t="s">
        <v>56</v>
      </c>
      <c r="D463" s="22">
        <v>0</v>
      </c>
      <c r="E463" s="20" t="s">
        <v>372</v>
      </c>
      <c r="F463" s="22">
        <v>7.88</v>
      </c>
      <c r="G463" s="22">
        <v>91.94</v>
      </c>
      <c r="H463" s="22">
        <v>35</v>
      </c>
      <c r="I463" s="22">
        <v>7.45</v>
      </c>
      <c r="J463" s="22">
        <v>115.1</v>
      </c>
      <c r="K463" s="22">
        <v>66.14</v>
      </c>
      <c r="L463" s="22">
        <v>149.13</v>
      </c>
      <c r="M463" s="22">
        <v>5.82</v>
      </c>
      <c r="N463" s="22">
        <v>18</v>
      </c>
      <c r="O463" s="22">
        <v>14</v>
      </c>
      <c r="P463" s="22">
        <v>6</v>
      </c>
      <c r="Q463" s="22">
        <v>5.8</v>
      </c>
      <c r="R463" s="27">
        <v>108</v>
      </c>
      <c r="S463" s="27">
        <v>81.2</v>
      </c>
      <c r="T463" s="27">
        <v>33.551349206349201</v>
      </c>
      <c r="U463" s="27">
        <v>78</v>
      </c>
      <c r="V463" s="27">
        <v>58</v>
      </c>
      <c r="W463" s="27">
        <v>65.037999999999997</v>
      </c>
      <c r="X463" s="27">
        <v>79.169293830953904</v>
      </c>
      <c r="Y463" s="20" t="s">
        <v>102</v>
      </c>
      <c r="Z463">
        <v>417.6</v>
      </c>
      <c r="AA463">
        <v>104.4</v>
      </c>
      <c r="AB463">
        <v>522</v>
      </c>
      <c r="AC463">
        <v>25.240641830191201</v>
      </c>
      <c r="AD463">
        <v>4.1725292090050097</v>
      </c>
      <c r="AE463">
        <v>4.1725292090050097</v>
      </c>
      <c r="AF463">
        <v>15.879185463450201</v>
      </c>
      <c r="AG463">
        <v>26.711759786418401</v>
      </c>
      <c r="AH463">
        <v>7.9891221202888003</v>
      </c>
      <c r="AI463">
        <v>10.833863330903799</v>
      </c>
      <c r="AJ463">
        <v>9.9801445856810496</v>
      </c>
      <c r="AK463">
        <v>11.077849205563901</v>
      </c>
      <c r="AL463" s="20">
        <v>2.0641669239671501</v>
      </c>
      <c r="AM463" s="20">
        <v>5.1184509424238902</v>
      </c>
      <c r="AN463" s="20" t="s">
        <v>373</v>
      </c>
    </row>
    <row r="464" spans="1:40" ht="14.5" x14ac:dyDescent="0.35">
      <c r="A464" s="20">
        <v>462</v>
      </c>
      <c r="B464" s="22" t="s">
        <v>531</v>
      </c>
      <c r="C464" s="22" t="s">
        <v>61</v>
      </c>
      <c r="D464" s="22">
        <v>0</v>
      </c>
      <c r="E464" s="20" t="s">
        <v>372</v>
      </c>
      <c r="F464" s="22">
        <v>-5.93</v>
      </c>
      <c r="G464" s="22">
        <v>150.59</v>
      </c>
      <c r="H464" s="22">
        <v>35</v>
      </c>
      <c r="I464" s="22">
        <v>7.31</v>
      </c>
      <c r="J464" s="22">
        <v>257</v>
      </c>
      <c r="K464" s="22">
        <v>24</v>
      </c>
      <c r="L464" s="22">
        <v>82</v>
      </c>
      <c r="M464" s="22">
        <v>8.73</v>
      </c>
      <c r="N464" s="22">
        <v>21</v>
      </c>
      <c r="O464" s="22">
        <v>21</v>
      </c>
      <c r="P464" s="22">
        <v>6</v>
      </c>
      <c r="Q464" s="22">
        <v>6.15</v>
      </c>
      <c r="R464" s="27">
        <v>126</v>
      </c>
      <c r="S464" s="27">
        <v>129.15</v>
      </c>
      <c r="T464" s="27">
        <v>14.779410430839</v>
      </c>
      <c r="U464" s="27">
        <v>78</v>
      </c>
      <c r="V464" s="27">
        <v>49.2</v>
      </c>
      <c r="W464" s="27">
        <v>62.670384615384599</v>
      </c>
      <c r="X464" s="27">
        <v>66.653466436490703</v>
      </c>
      <c r="Y464" s="20" t="s">
        <v>102</v>
      </c>
      <c r="Z464">
        <v>774.9</v>
      </c>
      <c r="AA464">
        <v>553.5</v>
      </c>
      <c r="AB464">
        <v>1328.4</v>
      </c>
      <c r="AC464">
        <v>9.7005476649517099</v>
      </c>
      <c r="AD464">
        <v>4.2960010474859001</v>
      </c>
      <c r="AE464">
        <v>4.2960010474859001</v>
      </c>
      <c r="AF464">
        <v>56.282972583784499</v>
      </c>
      <c r="AG464">
        <v>29.890080113282501</v>
      </c>
      <c r="AH464">
        <v>16.192261634236001</v>
      </c>
      <c r="AI464">
        <v>11.6175420188299</v>
      </c>
      <c r="AJ464">
        <v>12.761756749185</v>
      </c>
      <c r="AK464">
        <v>11.817857784075899</v>
      </c>
      <c r="AL464" s="20">
        <v>18.414593832066998</v>
      </c>
      <c r="AM464" s="20">
        <v>19.5003101741998</v>
      </c>
      <c r="AN464" s="20" t="s">
        <v>373</v>
      </c>
    </row>
    <row r="465" spans="1:40" ht="14.5" x14ac:dyDescent="0.35">
      <c r="A465" s="20">
        <v>463</v>
      </c>
      <c r="B465" s="22" t="s">
        <v>532</v>
      </c>
      <c r="C465" s="22" t="s">
        <v>61</v>
      </c>
      <c r="D465" s="22">
        <v>0</v>
      </c>
      <c r="E465" s="20" t="s">
        <v>372</v>
      </c>
      <c r="F465" s="22">
        <v>-5.75</v>
      </c>
      <c r="G465" s="22">
        <v>150.76</v>
      </c>
      <c r="H465" s="22">
        <v>34</v>
      </c>
      <c r="I465" s="22">
        <v>6.87</v>
      </c>
      <c r="J465" s="22">
        <v>240</v>
      </c>
      <c r="K465" s="22">
        <v>31</v>
      </c>
      <c r="L465" s="22">
        <v>80</v>
      </c>
      <c r="M465" s="22">
        <v>6.96</v>
      </c>
      <c r="N465" s="22">
        <v>19</v>
      </c>
      <c r="O465" s="22">
        <v>15</v>
      </c>
      <c r="P465" s="22">
        <v>5</v>
      </c>
      <c r="Q465" s="22">
        <v>5</v>
      </c>
      <c r="R465" s="27">
        <v>95</v>
      </c>
      <c r="S465" s="27">
        <v>75</v>
      </c>
      <c r="T465" s="27">
        <v>7.7480000000000002</v>
      </c>
      <c r="U465" s="27">
        <v>60</v>
      </c>
      <c r="V465" s="27">
        <v>65</v>
      </c>
      <c r="W465" s="27">
        <v>14.154999999999999</v>
      </c>
      <c r="X465" s="27">
        <v>16.713737282163098</v>
      </c>
      <c r="Y465" s="20" t="s">
        <v>102</v>
      </c>
      <c r="Z465">
        <v>825</v>
      </c>
      <c r="AA465">
        <v>300</v>
      </c>
      <c r="AB465">
        <v>1125</v>
      </c>
      <c r="AC465">
        <v>21.5058131676066</v>
      </c>
      <c r="AD465">
        <v>3.53553390593274</v>
      </c>
      <c r="AE465">
        <v>3.53553390593274</v>
      </c>
      <c r="AF465">
        <v>34.711736972712501</v>
      </c>
      <c r="AG465">
        <v>24.509711475823099</v>
      </c>
      <c r="AH465">
        <v>16.604737337391299</v>
      </c>
      <c r="AI465">
        <v>12.873502334451899</v>
      </c>
      <c r="AJ465">
        <v>10.1343358557321</v>
      </c>
      <c r="AK465">
        <v>9.2047557437319103</v>
      </c>
      <c r="AL465" s="20">
        <v>2.2401662996304501</v>
      </c>
      <c r="AM465" s="20">
        <v>13.8863382966857</v>
      </c>
      <c r="AN465" s="20" t="s">
        <v>373</v>
      </c>
    </row>
    <row r="466" spans="1:40" ht="14.5" x14ac:dyDescent="0.35">
      <c r="A466" s="20">
        <v>464</v>
      </c>
      <c r="B466" s="22" t="s">
        <v>533</v>
      </c>
      <c r="C466" s="22" t="s">
        <v>61</v>
      </c>
      <c r="D466" s="22">
        <v>0</v>
      </c>
      <c r="E466" s="20" t="s">
        <v>372</v>
      </c>
      <c r="F466" s="22">
        <v>38.28</v>
      </c>
      <c r="G466" s="22">
        <v>141.59</v>
      </c>
      <c r="H466" s="22">
        <v>42</v>
      </c>
      <c r="I466" s="22">
        <v>7.1</v>
      </c>
      <c r="J466" s="22">
        <v>19</v>
      </c>
      <c r="K466" s="22">
        <v>37</v>
      </c>
      <c r="L466" s="22">
        <v>83</v>
      </c>
      <c r="M466" s="22">
        <v>23.94</v>
      </c>
      <c r="N466" s="22">
        <v>13</v>
      </c>
      <c r="O466" s="22">
        <v>15</v>
      </c>
      <c r="P466" s="22">
        <v>5</v>
      </c>
      <c r="Q466" s="22">
        <v>4</v>
      </c>
      <c r="R466" s="27">
        <v>65</v>
      </c>
      <c r="S466" s="27">
        <v>60</v>
      </c>
      <c r="T466" s="27">
        <v>23.669794871794899</v>
      </c>
      <c r="U466" s="27">
        <v>35</v>
      </c>
      <c r="V466" s="27">
        <v>44</v>
      </c>
      <c r="W466" s="27">
        <v>59.942987012986997</v>
      </c>
      <c r="X466" s="27">
        <v>77.320685817825293</v>
      </c>
      <c r="Y466" s="20" t="s">
        <v>102</v>
      </c>
      <c r="Z466">
        <v>200</v>
      </c>
      <c r="AA466">
        <v>140</v>
      </c>
      <c r="AB466">
        <v>340</v>
      </c>
      <c r="AC466">
        <v>28.146935890075099</v>
      </c>
      <c r="AD466">
        <v>3.2015621187164198</v>
      </c>
      <c r="AE466">
        <v>6.5</v>
      </c>
      <c r="AF466">
        <v>28.509575050922798</v>
      </c>
      <c r="AG466">
        <v>13.4382924578866</v>
      </c>
      <c r="AH466">
        <v>10.006426209137199</v>
      </c>
      <c r="AI466">
        <v>5.7714713757354197</v>
      </c>
      <c r="AJ466">
        <v>10.025933328929799</v>
      </c>
      <c r="AK466">
        <v>6.9959610924037303</v>
      </c>
      <c r="AL466" s="20">
        <v>10.7610820441069</v>
      </c>
      <c r="AM466" s="20">
        <v>10.1322065202995</v>
      </c>
      <c r="AN466" s="20" t="s">
        <v>373</v>
      </c>
    </row>
    <row r="467" spans="1:40" ht="14.5" x14ac:dyDescent="0.35">
      <c r="A467" s="23">
        <v>465</v>
      </c>
      <c r="B467" s="24" t="s">
        <v>534</v>
      </c>
      <c r="C467" s="24" t="s">
        <v>61</v>
      </c>
      <c r="D467" s="22">
        <v>1</v>
      </c>
      <c r="E467" s="23" t="s">
        <v>372</v>
      </c>
      <c r="F467" s="24">
        <v>12.14</v>
      </c>
      <c r="G467" s="24">
        <v>-88.59</v>
      </c>
      <c r="H467" s="24">
        <v>11.8</v>
      </c>
      <c r="I467" s="24">
        <v>7.32</v>
      </c>
      <c r="J467" s="24">
        <v>284</v>
      </c>
      <c r="K467" s="24">
        <v>15</v>
      </c>
      <c r="L467" s="24">
        <v>77</v>
      </c>
      <c r="M467" s="24">
        <v>0.02</v>
      </c>
      <c r="N467" s="24">
        <v>19</v>
      </c>
      <c r="O467" s="24">
        <v>14</v>
      </c>
      <c r="P467" s="24">
        <v>8</v>
      </c>
      <c r="Q467" s="24">
        <v>7</v>
      </c>
      <c r="R467" s="27">
        <v>152</v>
      </c>
      <c r="S467" s="27">
        <v>98</v>
      </c>
      <c r="T467" s="27">
        <v>27.398909774436099</v>
      </c>
      <c r="U467" s="27">
        <v>128</v>
      </c>
      <c r="V467" s="27">
        <v>84</v>
      </c>
      <c r="W467" s="27">
        <v>37.958906249999998</v>
      </c>
      <c r="X467" s="27">
        <v>36.826900214335502</v>
      </c>
      <c r="Y467" s="23" t="s">
        <v>102</v>
      </c>
      <c r="Z467">
        <v>2856</v>
      </c>
      <c r="AA467">
        <v>448</v>
      </c>
      <c r="AB467">
        <v>3304</v>
      </c>
      <c r="AC467">
        <v>69.095947782775198</v>
      </c>
      <c r="AD467">
        <v>5.3150729063673303</v>
      </c>
      <c r="AE467">
        <v>11.2361025271221</v>
      </c>
      <c r="AF467">
        <v>56.615895427828598</v>
      </c>
      <c r="AG467">
        <v>32.299309915947902</v>
      </c>
      <c r="AH467">
        <v>29.958110445785799</v>
      </c>
      <c r="AI467">
        <v>19.041443428218201</v>
      </c>
      <c r="AJ467">
        <v>16.120600379039299</v>
      </c>
      <c r="AK467">
        <v>13.0148084030084</v>
      </c>
      <c r="AL467" s="23">
        <v>37.788885442415499</v>
      </c>
      <c r="AM467" s="23">
        <v>14.943345098738799</v>
      </c>
      <c r="AN467" s="23" t="s">
        <v>373</v>
      </c>
    </row>
  </sheetData>
  <mergeCells count="15">
    <mergeCell ref="AF1:AG1"/>
    <mergeCell ref="AH1:AI1"/>
    <mergeCell ref="AJ1:AK1"/>
    <mergeCell ref="AL1:AM1"/>
    <mergeCell ref="AN1:AN2"/>
    <mergeCell ref="F1:H1"/>
    <mergeCell ref="N1:O1"/>
    <mergeCell ref="P1:Q1"/>
    <mergeCell ref="X1:X2"/>
    <mergeCell ref="Y1:Y2"/>
    <mergeCell ref="A1:A2"/>
    <mergeCell ref="B1:B2"/>
    <mergeCell ref="C1:C2"/>
    <mergeCell ref="D1:D2"/>
    <mergeCell ref="E1:E2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5866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sharma</dc:creator>
  <cp:lastModifiedBy>Varun sharma</cp:lastModifiedBy>
  <dcterms:created xsi:type="dcterms:W3CDTF">2026-04-19T17:11:15Z</dcterms:created>
  <dcterms:modified xsi:type="dcterms:W3CDTF">2026-04-19T17:11:15Z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2024-11-08T19:14:08Z</dcterms:created>
  <dc:creator/>
  <dc:description/>
  <dc:language>en-IN</dc:language>
  <cp:lastModifiedBy/>
  <dcterms:modified xsi:type="dcterms:W3CDTF">2024-11-12T21:00:17Z</dcterms:modified>
  <cp:revision>2</cp:revision>
  <dc:subject/>
  <dc:title/>
</cp:coreProperties>
</file>